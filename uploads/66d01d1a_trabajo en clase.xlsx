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5"/>
  <workbookPr/>
  <mc:AlternateContent xmlns:mc="http://schemas.openxmlformats.org/markup-compatibility/2006">
    <mc:Choice Requires="x15">
      <x15ac:absPath xmlns:x15ac="http://schemas.microsoft.com/office/spreadsheetml/2010/11/ac" url="https://ulacited-my.sharepoint.com/personal/framirezq241_ulacit_ed_cr/Documents/"/>
    </mc:Choice>
  </mc:AlternateContent>
  <xr:revisionPtr revIDLastSave="0" documentId="8_{A4D2839B-C846-47E1-93DD-039F59019C9B}" xr6:coauthVersionLast="47" xr6:coauthVersionMax="47" xr10:uidLastSave="{00000000-0000-0000-0000-000000000000}"/>
  <bookViews>
    <workbookView xWindow="-98" yWindow="-98" windowWidth="21795" windowHeight="13875" firstSheet="3" activeTab="3" xr2:uid="{8096B84C-1094-8246-BBB5-7450C4231937}"/>
  </bookViews>
  <sheets>
    <sheet name="Ejercicio 1" sheetId="1" r:id="rId1"/>
    <sheet name="Ejercicio 2" sheetId="2" r:id="rId2"/>
    <sheet name="Ejercicio 3" sheetId="3" r:id="rId3"/>
    <sheet name="Ejercicio 4" sheetId="4" r:id="rId4"/>
    <sheet name="Ejercicio 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2" l="1"/>
  <c r="I4" i="2"/>
  <c r="I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tc={62384069-5B23-DA44-B756-50D01965220B}</author>
  </authors>
  <commentList>
    <comment ref="A33" authorId="0" shapeId="0" xr:uid="{62384069-5B23-DA44-B756-50D01965220B}">
      <text>
        <t>[Threaded comment]
Your version of Excel allows you to read this threaded comment; however, any edits to it will get removed if the file is opened in a newer version of Excel. Learn more: https://go.microsoft.com/fwlink/?linkid=870924
Comment:
    El indicador es que si r o r2 &gt;=70% existe una adeucada relación lineal y una menor variabilidad</t>
      </text>
    </comment>
  </commentList>
</comments>
</file>

<file path=xl/sharedStrings.xml><?xml version="1.0" encoding="utf-8"?>
<sst xmlns="http://schemas.openxmlformats.org/spreadsheetml/2006/main" count="206" uniqueCount="151">
  <si>
    <t>Ejercicio 1:</t>
  </si>
  <si>
    <t xml:space="preserve">Un estudio está investigando la relación entre la presión arterial sistólica y la edad en una muestra de pacientes adultos. </t>
  </si>
  <si>
    <t>La presión arterial sistólica (PAS) es un indicador clave de la salud cardiovascular y se quiere evaluar si la edad del paciente</t>
  </si>
  <si>
    <t>puede predecir la presión arterial sistólica. Para cada paciente, se ha registrado: Edad (en años) y la Presión arterial sistólica (en mmHg)</t>
  </si>
  <si>
    <t>Edad (años)</t>
  </si>
  <si>
    <t>Presión arterial sistólica (mmHg)</t>
  </si>
  <si>
    <t>Variable indepediente (x):</t>
  </si>
  <si>
    <t>edad</t>
  </si>
  <si>
    <t>Variable dependiente (y):</t>
  </si>
  <si>
    <t>presion arterial sistolica</t>
  </si>
  <si>
    <t>1. Trace un diagrama de dispersión y la recta de ajuste. </t>
  </si>
  <si>
    <t>2. Construya un modelo de regresión lineal simple para predecir la presión arterial sistólica en función de la edad del paciente.</t>
  </si>
  <si>
    <t>Regression Statistics</t>
  </si>
  <si>
    <t>Multiple R</t>
  </si>
  <si>
    <t>R Square</t>
  </si>
  <si>
    <t>y=85+1x  Corresponde a la ecuacion predictora del modelo de regrecion lineal</t>
  </si>
  <si>
    <t>Adjusted R Square</t>
  </si>
  <si>
    <t>Standard Error</t>
  </si>
  <si>
    <t>Observations</t>
  </si>
  <si>
    <t>3. Interprete los coeficientes de correlación y de determinación en el contexto del problema</t>
  </si>
  <si>
    <t> </t>
  </si>
  <si>
    <t>Coefficients</t>
  </si>
  <si>
    <t>t Stat</t>
  </si>
  <si>
    <t>P-value</t>
  </si>
  <si>
    <t>Lower 95%</t>
  </si>
  <si>
    <t>Upper 95%</t>
  </si>
  <si>
    <t>Lower 95.0%</t>
  </si>
  <si>
    <t>Upper 95.0%</t>
  </si>
  <si>
    <t>Intercept</t>
  </si>
  <si>
    <t>y=85+1x</t>
  </si>
  <si>
    <t>RESIDUAL OUTPUT</t>
  </si>
  <si>
    <t>4. Evalué la calidad del ajuste del modelo.</t>
  </si>
  <si>
    <t>Observation</t>
  </si>
  <si>
    <t>Predicted 120</t>
  </si>
  <si>
    <t>Residuals</t>
  </si>
  <si>
    <t>Standard Residuals</t>
  </si>
  <si>
    <t>PROBABILITY OUTPUT</t>
  </si>
  <si>
    <t>Percentile</t>
  </si>
  <si>
    <t>5. ¿Cuál sería la presión arterial sistólica de un paciente de 65 años?</t>
  </si>
  <si>
    <t>y=85+1x </t>
  </si>
  <si>
    <t>y=85+1*(65)</t>
  </si>
  <si>
    <t>el nivel de presion arterial con el modelo estiamdo de un paciente de 65 años es de un 150</t>
  </si>
  <si>
    <t>El gerente general de ventas planea transmitir un comercial de una cámara digital en
estaciones de televisión locales antes del periodo de ventas que empezará el sábado y
terminará el domingo. Planea obtener la información de las ventas de la cámara digital
durante el sábado y el domingo en las diversas tiendas y compararlas con el número de
veces que se transmitió el anuncio en las estaciones de televisión. El propósito es
determinar si hay alguna relación entre el número de veces que se transmitió el anuncio
y las ventas de cámaras digitales.</t>
  </si>
  <si>
    <t>Ubicación</t>
  </si>
  <si>
    <t>Números de transmisiones</t>
  </si>
  <si>
    <t>Ventas sabado a domingo</t>
  </si>
  <si>
    <t>Providence</t>
  </si>
  <si>
    <t>Resumen</t>
  </si>
  <si>
    <t>Springfield</t>
  </si>
  <si>
    <t>New Haven</t>
  </si>
  <si>
    <t>Estadísticas de la regresión</t>
  </si>
  <si>
    <t>Boston</t>
  </si>
  <si>
    <t>Coeficiente de correlación múltiple</t>
  </si>
  <si>
    <t>Hartford</t>
  </si>
  <si>
    <t>Coeficiente de determinación R^2</t>
  </si>
  <si>
    <t>R^2  ajustado</t>
  </si>
  <si>
    <t>Error típico</t>
  </si>
  <si>
    <t>1. Trace un diagrama de dispersión y la recta de ajuste.</t>
  </si>
  <si>
    <t>Observaciones</t>
  </si>
  <si>
    <t>ANÁLISIS DE VARIANZA</t>
  </si>
  <si>
    <t>Grados de libertad</t>
  </si>
  <si>
    <t>Suma de cuadrados</t>
  </si>
  <si>
    <t>Promedio de los cuadrados</t>
  </si>
  <si>
    <t>F</t>
  </si>
  <si>
    <t>Valor crítico de F</t>
  </si>
  <si>
    <t>Regresión</t>
  </si>
  <si>
    <t>Residuos</t>
  </si>
  <si>
    <t>Total</t>
  </si>
  <si>
    <t>Coeficientes</t>
  </si>
  <si>
    <t>Estadístico t</t>
  </si>
  <si>
    <t>Probabilidad</t>
  </si>
  <si>
    <t>Inferior 95%</t>
  </si>
  <si>
    <t>Superior 95%</t>
  </si>
  <si>
    <t>Inferior 95,0%</t>
  </si>
  <si>
    <t>Superior 95,0%</t>
  </si>
  <si>
    <t>Intercepción</t>
  </si>
  <si>
    <r>
      <rPr>
        <sz val="12"/>
        <color rgb="FFFF0000"/>
        <rFont val="Aptos Narrow (Cuerpo)"/>
      </rPr>
      <t>y</t>
    </r>
    <r>
      <rPr>
        <sz val="12"/>
        <color theme="1"/>
        <rFont val="Aptos Narrow"/>
        <family val="2"/>
        <scheme val="minor"/>
      </rPr>
      <t>=-0,08+0,24</t>
    </r>
    <r>
      <rPr>
        <sz val="12"/>
        <color rgb="FFFF0000"/>
        <rFont val="Aptos Narrow (Cuerpo)"/>
      </rPr>
      <t>X</t>
    </r>
  </si>
  <si>
    <t>Análisis de los residuales</t>
  </si>
  <si>
    <t>Resultados de datos de probabilidad</t>
  </si>
  <si>
    <t>2. Desarrolle un modelo de regresión para predecir de la venta de las cámaras digitales en función del número de veces que se transmitió el anuncio.</t>
  </si>
  <si>
    <t>Observación</t>
  </si>
  <si>
    <t>Pronóstico Números de transmisiones</t>
  </si>
  <si>
    <t>Residuos estándares</t>
  </si>
  <si>
    <t>Percentil</t>
  </si>
  <si>
    <t>y=-0,08+0,24X</t>
  </si>
  <si>
    <t>3. Interprete los coeficientes de correlación y de determinación en el contexto del problema.</t>
  </si>
  <si>
    <t>Existe una muy buena correlación entre las transmisiones y las ventas</t>
  </si>
  <si>
    <t>Existe una adecuado control de no variabilidad en el modelo</t>
  </si>
  <si>
    <t>Se presenta una calidad adecuada en el modelo con su comportamiento de normalidad.</t>
  </si>
  <si>
    <t>7. ¿Cuál sería la cantidad de ventas realizadas si se realizan 8 trasmisiones</t>
  </si>
  <si>
    <t>8=-0,8+0,24*X</t>
  </si>
  <si>
    <t>La cantidad de ventas realizadas si se realizan 8 transmisiones es de un estimado de 34</t>
  </si>
  <si>
    <t>El departamento de producción de Celltronics International desea explorar la relación entre el número de empleados que trabajan en una línea de ensamblado parcial y la cantidad de unidades producida. Como experimento, se asignó a dos empleados al ensamblado parcial. Su desempeño fue de 15 productos durante un periodo de una hora. Después, cuatro empleados hicieron los ensamblados y su número fue de 25 durante un periodo de una hora. El conjunto completo de observaciones se muestra a continuación</t>
  </si>
  <si>
    <t>Número de ensambladores</t>
  </si>
  <si>
    <t>Produccion en una hora</t>
  </si>
  <si>
    <t xml:space="preserve">1. Trace un diagrama de dispersión y la recta de ajuste. </t>
  </si>
  <si>
    <t>2. Desarrolle un modelo de regresión para predecir el nivel de producción</t>
  </si>
  <si>
    <t>Dado</t>
  </si>
  <si>
    <t>y = bx + a</t>
  </si>
  <si>
    <t>La ecuación de regresión propuesta es</t>
  </si>
  <si>
    <t>y = 7x + 3</t>
  </si>
  <si>
    <t>donde</t>
  </si>
  <si>
    <t>b=7 es la pendiente (el incremento en la producción por cada ensamblador adicional).</t>
  </si>
  <si>
    <t>a=3 es la intersección (el valor de la producción cuando no hay ensambladores).</t>
  </si>
  <si>
    <t>3.Interprete los coeficientes de correlación y de determinación en el contexto del problema.</t>
  </si>
  <si>
    <t>Intersección a: Representa la producción cuando el número de ensambladores es 0, lo cual sería 3 unidades. Esto podría interpretarse como una producción base o mínima.</t>
  </si>
  <si>
    <t>Pendiente b: Indica que por cada ensamblador adicional, la producción aumenta en 7 unidades.</t>
  </si>
  <si>
    <t>R^2 cercano a 1: Buen ajuste.</t>
  </si>
  <si>
    <t>R^2 cercano a 0: Mal ajuste.</t>
  </si>
  <si>
    <t>En este caso R^2 = 0.86</t>
  </si>
  <si>
    <t>Lo que indica que el 86% de la variabilidad en la producción puede explicarse por el número de ensambladores. Esto sugiere un buen ajuste del modelo.</t>
  </si>
  <si>
    <t>5. ¿Cuál sería la cantidad de ventas realizadas si se realizan 8 trasmisiones?</t>
  </si>
  <si>
    <t>y = 7*8 + 3</t>
  </si>
  <si>
    <t>y= 59</t>
  </si>
  <si>
    <t>Esto significa que con 8 ensambladores, se espera una producción de 59 unidades.</t>
  </si>
  <si>
    <t>En un experimento se ha tratado de medir la relación entre el porcentaje de frecuencia cardíaca</t>
  </si>
  <si>
    <t>de reserva (%HRR) y el máximo volumen de oxígeno en la sangre (medido como %VO2 máximo)</t>
  </si>
  <si>
    <t>en deportistas. En un grupo de 12 deportistas que se ejercitó en el escalador elíptico se obtuvieron</t>
  </si>
  <si>
    <t>los siguientes resultados</t>
  </si>
  <si>
    <t>%HRR</t>
  </si>
  <si>
    <t>%VO2</t>
  </si>
  <si>
    <t>Trace un diagrama de dispersión y la recta de ajuste</t>
  </si>
  <si>
    <t>Determine la ecuación de regresión que permita predecir el nivel de HRR según el nivel de VO2</t>
  </si>
  <si>
    <t>3. Interprete los coeficientes de correlación y de determinación en el</t>
  </si>
  <si>
    <t>contexto del problema.</t>
  </si>
  <si>
    <t>5. Estime el nivel de VO2 y la frecuencia cardica de reserva es de 80</t>
  </si>
  <si>
    <t>La tabla presenta los reportes de ventas anuales y los años de experiencia de 10</t>
  </si>
  <si>
    <t>vendedores de una prestigiosa empresa.</t>
  </si>
  <si>
    <t>Años de Experiencia</t>
  </si>
  <si>
    <t>Ventas (miles $/año)</t>
  </si>
  <si>
    <t>SUMMARY OUTPUT</t>
  </si>
  <si>
    <t>ANOVA</t>
  </si>
  <si>
    <t>df</t>
  </si>
  <si>
    <t>SS</t>
  </si>
  <si>
    <t>MS</t>
  </si>
  <si>
    <t>Significance F</t>
  </si>
  <si>
    <t>Regression</t>
  </si>
  <si>
    <t>Residual</t>
  </si>
  <si>
    <r>
      <t>Y</t>
    </r>
    <r>
      <rPr>
        <sz val="11"/>
        <color rgb="FF000000"/>
        <rFont val="Aptos Narrow"/>
        <family val="2"/>
      </rPr>
      <t>=80+4</t>
    </r>
    <r>
      <rPr>
        <sz val="11"/>
        <color rgb="FFFF0000"/>
        <rFont val="Aptos Narrow"/>
        <family val="2"/>
      </rPr>
      <t>X</t>
    </r>
  </si>
  <si>
    <t>2. Establezca e interprete la ecuación de regresión que permita predecir las ventas con base en la</t>
  </si>
  <si>
    <t>experiencia del vendedor.</t>
  </si>
  <si>
    <t>Predicted Ventas (miles $/año)</t>
  </si>
  <si>
    <t>Y=80+4X</t>
  </si>
  <si>
    <t>Ecuación predictora del Modelo de Regresión Lineal</t>
  </si>
  <si>
    <t>Entre los años de experiencia y las ventas, existe una fuerte correlación de 96.46%.</t>
  </si>
  <si>
    <t>Al realizar el ajuste del Coeficiente de correlación, se sigue manteniendo la fuerte correlación</t>
  </si>
  <si>
    <t>El modelo presenta una muy buena calidad de predicción, con poca variabilidad en los puntos de la gráfica.</t>
  </si>
  <si>
    <t>El primer y último punto son los que más se desvían del modelo y tal vez requieran de una segunda evaluación</t>
  </si>
  <si>
    <t>5. Estime las ventas de un vendedor con 7,5 años de experiencia.</t>
  </si>
  <si>
    <r>
      <t>Y=80+4*</t>
    </r>
    <r>
      <rPr>
        <sz val="12"/>
        <color rgb="FFFF0000"/>
        <rFont val="Aptos Narrow"/>
        <family val="2"/>
      </rPr>
      <t>(7.5)</t>
    </r>
  </si>
  <si>
    <t>Las ventas estimadas de un vendedor con 7.5 años de experiencia es de $100,000 al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</si>
</sst>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Aptos Narrow"/>
      <family val="2"/>
      <scheme val="minor"/>
    </font>
    <font>
      <sz val="9"/>
      <color rgb="FF000000"/>
      <name val="Times New Roman"/>
      <family val="1"/>
    </font>
    <font>
      <sz val="16"/>
      <color theme="1"/>
      <name val="Times New Roman"/>
      <family val="1"/>
    </font>
    <font>
      <sz val="14"/>
      <color rgb="FF000000"/>
      <name val="Times New Roman"/>
      <family val="1"/>
    </font>
    <font>
      <b/>
      <sz val="11"/>
      <color theme="1"/>
      <name val="Aptos Narrow"/>
      <family val="2"/>
      <scheme val="minor"/>
    </font>
    <font>
      <sz val="11"/>
      <color theme="1"/>
      <name val="Aptos Narrow"/>
      <family val="2"/>
      <scheme val="minor"/>
    </font>
    <font>
      <i/>
      <sz val="12"/>
      <color theme="1"/>
      <name val="Aptos Narrow"/>
      <family val="2"/>
      <scheme val="minor"/>
    </font>
    <font>
      <sz val="12"/>
      <color rgb="FFFF0000"/>
      <name val="Aptos Narrow (Cuerpo)"/>
    </font>
    <font>
      <sz val="18"/>
      <color theme="1"/>
      <name val="Aptos Narrow"/>
      <family val="2"/>
      <scheme val="minor"/>
    </font>
    <font>
      <sz val="14"/>
      <color theme="1"/>
      <name val="Times New Roman"/>
      <charset val="1"/>
    </font>
    <font>
      <sz val="11"/>
      <color theme="1"/>
      <name val="Times New Roman"/>
      <charset val="1"/>
    </font>
    <font>
      <sz val="11"/>
      <color rgb="FF000000"/>
      <name val="Times New Roman"/>
      <charset val="1"/>
    </font>
    <font>
      <b/>
      <sz val="11"/>
      <color rgb="FF000000"/>
      <name val="Calibri"/>
      <family val="2"/>
    </font>
    <font>
      <sz val="11"/>
      <color rgb="FF000000"/>
      <name val="Calibri"/>
      <family val="2"/>
    </font>
    <font>
      <sz val="12"/>
      <color theme="1"/>
      <name val="Cambria"/>
      <family val="1"/>
    </font>
    <font>
      <sz val="18"/>
      <color rgb="FF000000"/>
      <name val="Cambria"/>
      <family val="1"/>
      <charset val="1"/>
    </font>
    <font>
      <sz val="18"/>
      <color rgb="FF000000"/>
      <name val="Cambria"/>
      <charset val="1"/>
    </font>
    <font>
      <b/>
      <sz val="18"/>
      <color rgb="FF000000"/>
      <name val="Calibri"/>
      <family val="2"/>
      <charset val="1"/>
    </font>
    <font>
      <sz val="18"/>
      <color rgb="FF000000"/>
      <name val="Calibri"/>
      <family val="2"/>
      <charset val="1"/>
    </font>
    <font>
      <sz val="14"/>
      <color rgb="FF000000"/>
      <name val="Calibri"/>
      <family val="2"/>
      <charset val="1"/>
    </font>
    <font>
      <sz val="11"/>
      <color rgb="FF000000"/>
      <name val="Calibri"/>
      <charset val="1"/>
    </font>
    <font>
      <i/>
      <sz val="11"/>
      <color rgb="FF000000"/>
      <name val="Calibri"/>
      <charset val="1"/>
    </font>
    <font>
      <i/>
      <sz val="11"/>
      <color rgb="FF000000"/>
      <name val="Calibri"/>
      <family val="2"/>
      <charset val="1"/>
    </font>
    <font>
      <sz val="11"/>
      <color rgb="FF000000"/>
      <name val="Calibri"/>
      <family val="2"/>
      <charset val="1"/>
    </font>
    <font>
      <b/>
      <u/>
      <sz val="14"/>
      <color rgb="FF000000"/>
      <name val="Cambria"/>
      <family val="1"/>
      <charset val="1"/>
    </font>
    <font>
      <sz val="12"/>
      <color rgb="FF000000"/>
      <name val="Aptos Narrow"/>
      <family val="2"/>
    </font>
    <font>
      <sz val="11"/>
      <color rgb="FF000000"/>
      <name val="Aptos Narrow"/>
      <family val="2"/>
    </font>
    <font>
      <i/>
      <sz val="11"/>
      <color rgb="FF000000"/>
      <name val="Aptos Narrow"/>
      <family val="2"/>
    </font>
    <font>
      <sz val="14"/>
      <color rgb="FF000000"/>
      <name val="Times New Roman"/>
      <charset val="1"/>
    </font>
    <font>
      <sz val="11"/>
      <color rgb="FFFF0000"/>
      <name val="Aptos Narrow"/>
      <family val="2"/>
    </font>
    <font>
      <sz val="12"/>
      <color rgb="FFFF0000"/>
      <name val="Aptos Narrow"/>
      <family val="2"/>
    </font>
  </fonts>
  <fills count="8">
    <fill>
      <patternFill patternType="none"/>
    </fill>
    <fill>
      <patternFill patternType="gray125"/>
    </fill>
    <fill>
      <patternFill patternType="solid">
        <fgColor theme="9" tint="0.79998168889431442"/>
        <bgColor indexed="64"/>
      </patternFill>
    </fill>
    <fill>
      <patternFill patternType="solid">
        <fgColor rgb="FFF2F2F2"/>
        <bgColor indexed="64"/>
      </patternFill>
    </fill>
    <fill>
      <patternFill patternType="solid">
        <fgColor rgb="FFE2EFDA"/>
        <bgColor indexed="64"/>
      </patternFill>
    </fill>
    <fill>
      <patternFill patternType="solid">
        <fgColor rgb="FFFFFF00"/>
        <bgColor indexed="64"/>
      </patternFill>
    </fill>
    <fill>
      <patternFill patternType="solid">
        <fgColor theme="0"/>
        <bgColor indexed="64"/>
      </patternFill>
    </fill>
    <fill>
      <patternFill patternType="solid">
        <fgColor rgb="FFE2EFDA"/>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top/>
      <bottom style="medium">
        <color rgb="FF000000"/>
      </bottom>
      <diagonal/>
    </border>
    <border>
      <left/>
      <right/>
      <top style="medium">
        <color indexed="64"/>
      </top>
      <bottom/>
      <diagonal/>
    </border>
  </borders>
  <cellStyleXfs count="1">
    <xf numFmtId="0" fontId="0" fillId="0" borderId="0"/>
  </cellStyleXfs>
  <cellXfs count="70">
    <xf numFmtId="0" fontId="0" fillId="0" borderId="0" xfId="0"/>
    <xf numFmtId="0" fontId="1" fillId="0" borderId="0" xfId="0" applyFont="1"/>
    <xf numFmtId="0" fontId="2" fillId="0" borderId="0" xfId="0" applyFont="1"/>
    <xf numFmtId="0" fontId="3" fillId="0" borderId="0" xfId="0" applyFont="1"/>
    <xf numFmtId="0" fontId="0" fillId="0" borderId="1" xfId="0" applyBorder="1" applyAlignment="1">
      <alignment horizont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2" xfId="0" applyBorder="1"/>
    <xf numFmtId="0" fontId="6" fillId="0" borderId="3" xfId="0" applyFont="1" applyBorder="1" applyAlignment="1">
      <alignment horizontal="center"/>
    </xf>
    <xf numFmtId="0" fontId="6" fillId="0" borderId="3" xfId="0" applyFont="1" applyBorder="1" applyAlignment="1">
      <alignment horizontal="centerContinuous"/>
    </xf>
    <xf numFmtId="0" fontId="0" fillId="2" borderId="1" xfId="0" applyFill="1" applyBorder="1" applyAlignment="1">
      <alignment wrapText="1"/>
    </xf>
    <xf numFmtId="0" fontId="0" fillId="2" borderId="1" xfId="0" applyFill="1" applyBorder="1"/>
    <xf numFmtId="0" fontId="0" fillId="2" borderId="0" xfId="0" applyFill="1"/>
    <xf numFmtId="0" fontId="0" fillId="2" borderId="2" xfId="0" applyFill="1" applyBorder="1"/>
    <xf numFmtId="0" fontId="8" fillId="0" borderId="0" xfId="0" applyFont="1"/>
    <xf numFmtId="0" fontId="9" fillId="0" borderId="0" xfId="0" applyFont="1"/>
    <xf numFmtId="0" fontId="9" fillId="3" borderId="0" xfId="0" applyFont="1" applyFill="1" applyAlignment="1">
      <alignment readingOrder="1"/>
    </xf>
    <xf numFmtId="0" fontId="0" fillId="0" borderId="4" xfId="0" applyBorder="1"/>
    <xf numFmtId="0" fontId="10" fillId="0" borderId="0" xfId="0" applyFont="1"/>
    <xf numFmtId="0" fontId="0" fillId="0" borderId="0" xfId="0" applyAlignment="1">
      <alignment horizontal="center"/>
    </xf>
    <xf numFmtId="0" fontId="11" fillId="0" borderId="0" xfId="0" applyFont="1"/>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4" fillId="0" borderId="0" xfId="0" applyFont="1" applyAlignment="1">
      <alignment horizontal="center" wrapText="1"/>
    </xf>
    <xf numFmtId="0" fontId="14" fillId="0" borderId="0" xfId="0" applyFont="1" applyAlignment="1">
      <alignment horizontal="justify" vertical="center"/>
    </xf>
    <xf numFmtId="0" fontId="15" fillId="0" borderId="0" xfId="0" applyFont="1"/>
    <xf numFmtId="0" fontId="16" fillId="0" borderId="0" xfId="0" applyFont="1"/>
    <xf numFmtId="0" fontId="17" fillId="4" borderId="5" xfId="0" applyFont="1" applyFill="1" applyBorder="1" applyAlignment="1">
      <alignment wrapText="1"/>
    </xf>
    <xf numFmtId="0" fontId="17" fillId="4" borderId="6" xfId="0" applyFont="1" applyFill="1" applyBorder="1" applyAlignment="1">
      <alignment wrapText="1"/>
    </xf>
    <xf numFmtId="0" fontId="18" fillId="0" borderId="7" xfId="0" applyFont="1" applyBorder="1"/>
    <xf numFmtId="0" fontId="18" fillId="0" borderId="8" xfId="0" applyFont="1" applyBorder="1"/>
    <xf numFmtId="0" fontId="17" fillId="0" borderId="1" xfId="0" applyFont="1" applyBorder="1" applyAlignment="1">
      <alignment wrapText="1"/>
    </xf>
    <xf numFmtId="0" fontId="18" fillId="0" borderId="9" xfId="0" applyFont="1" applyBorder="1"/>
    <xf numFmtId="0" fontId="17" fillId="0" borderId="10" xfId="0" applyFont="1" applyBorder="1" applyAlignment="1">
      <alignment wrapText="1"/>
    </xf>
    <xf numFmtId="0" fontId="18" fillId="0" borderId="11" xfId="0" applyFont="1" applyBorder="1" applyAlignment="1">
      <alignment wrapText="1"/>
    </xf>
    <xf numFmtId="0" fontId="19" fillId="0" borderId="0" xfId="0" applyFont="1"/>
    <xf numFmtId="0" fontId="18" fillId="5" borderId="0" xfId="0" applyFont="1" applyFill="1"/>
    <xf numFmtId="0" fontId="20" fillId="0" borderId="0" xfId="0" applyFont="1"/>
    <xf numFmtId="0" fontId="21" fillId="0" borderId="12" xfId="0" applyFont="1" applyBorder="1"/>
    <xf numFmtId="0" fontId="20" fillId="5" borderId="0" xfId="0" applyFont="1" applyFill="1"/>
    <xf numFmtId="0" fontId="20" fillId="0" borderId="13" xfId="0" applyFont="1" applyBorder="1"/>
    <xf numFmtId="0" fontId="22" fillId="0" borderId="12" xfId="0" applyFont="1" applyBorder="1"/>
    <xf numFmtId="0" fontId="23" fillId="0" borderId="0" xfId="0" applyFont="1"/>
    <xf numFmtId="0" fontId="23" fillId="0" borderId="13" xfId="0" applyFont="1" applyBorder="1"/>
    <xf numFmtId="0" fontId="18" fillId="0" borderId="0" xfId="0" applyFont="1"/>
    <xf numFmtId="0" fontId="24" fillId="0" borderId="0" xfId="0" applyFont="1"/>
    <xf numFmtId="0" fontId="10" fillId="6" borderId="0" xfId="0" applyFont="1" applyFill="1" applyAlignment="1">
      <alignment readingOrder="1"/>
    </xf>
    <xf numFmtId="0" fontId="26" fillId="0" borderId="0" xfId="0" applyFont="1"/>
    <xf numFmtId="0" fontId="25" fillId="0" borderId="0" xfId="0" applyFont="1"/>
    <xf numFmtId="0" fontId="17" fillId="7" borderId="5" xfId="0" applyFont="1" applyFill="1" applyBorder="1" applyAlignment="1">
      <alignment wrapText="1"/>
    </xf>
    <xf numFmtId="0" fontId="17" fillId="7" borderId="6" xfId="0" applyFont="1" applyFill="1" applyBorder="1" applyAlignment="1">
      <alignment wrapText="1"/>
    </xf>
    <xf numFmtId="0" fontId="27" fillId="0" borderId="3" xfId="0" applyFont="1" applyBorder="1"/>
    <xf numFmtId="0" fontId="27" fillId="0" borderId="0" xfId="0" applyFont="1"/>
    <xf numFmtId="0" fontId="28" fillId="0" borderId="0" xfId="0" applyFont="1"/>
    <xf numFmtId="0" fontId="26" fillId="0" borderId="2" xfId="0" applyFont="1" applyBorder="1"/>
    <xf numFmtId="11" fontId="26" fillId="0" borderId="0" xfId="0" applyNumberFormat="1" applyFont="1"/>
    <xf numFmtId="11" fontId="26" fillId="0" borderId="2" xfId="0" applyNumberFormat="1" applyFont="1" applyBorder="1"/>
    <xf numFmtId="10" fontId="26" fillId="0" borderId="0" xfId="0" applyNumberFormat="1" applyFont="1"/>
    <xf numFmtId="0" fontId="26" fillId="0" borderId="0" xfId="0" applyFont="1" applyAlignment="1">
      <alignment wrapText="1"/>
    </xf>
    <xf numFmtId="0" fontId="0" fillId="0" borderId="0" xfId="0" applyAlignment="1">
      <alignment horizontal="center" wrapText="1"/>
    </xf>
    <xf numFmtId="0" fontId="14" fillId="0" borderId="0" xfId="0" applyFont="1" applyAlignment="1">
      <alignment horizontal="center" wrapText="1"/>
    </xf>
    <xf numFmtId="0" fontId="25" fillId="0" borderId="0" xfId="0" applyFont="1" applyAlignment="1">
      <alignment wrapText="1"/>
    </xf>
    <xf numFmtId="0" fontId="21" fillId="0" borderId="12" xfId="0" applyFont="1" applyBorder="1" applyAlignment="1"/>
    <xf numFmtId="0" fontId="20" fillId="0" borderId="0" xfId="0" applyFont="1" applyAlignment="1"/>
    <xf numFmtId="0" fontId="18" fillId="0" borderId="0" xfId="0" applyFont="1" applyAlignment="1"/>
    <xf numFmtId="0" fontId="29" fillId="0" borderId="14" xfId="0" applyFont="1" applyBorder="1" applyAlignment="1"/>
    <xf numFmtId="0" fontId="2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a:t>Ventas sabado a domingo Gráfico de los residuales</a:t>
            </a:r>
          </a:p>
        </c:rich>
      </c:tx>
      <c:overlay val="0"/>
    </c:title>
    <c:autoTitleDeleted val="0"/>
    <c:plotArea>
      <c:layout/>
      <c:scatterChart>
        <c:scatterStyle val="lineMarker"/>
        <c:varyColors val="0"/>
        <c:ser>
          <c:idx val="0"/>
          <c:order val="0"/>
          <c:spPr>
            <a:ln w="38100">
              <a:noFill/>
            </a:ln>
          </c:spPr>
          <c:xVal>
            <c:numRef>
              <c:f>'Ejercicio 2'!$F$4:$F$8</c:f>
              <c:numCache>
                <c:formatCode>General</c:formatCode>
                <c:ptCount val="5"/>
                <c:pt idx="0">
                  <c:v>15</c:v>
                </c:pt>
                <c:pt idx="1">
                  <c:v>8</c:v>
                </c:pt>
                <c:pt idx="2">
                  <c:v>21</c:v>
                </c:pt>
                <c:pt idx="3">
                  <c:v>24</c:v>
                </c:pt>
                <c:pt idx="4">
                  <c:v>17</c:v>
                </c:pt>
              </c:numCache>
            </c:numRef>
          </c:xVal>
          <c:yVal>
            <c:numRef>
              <c:f>'Ejercicio 2'!$O$28:$O$32</c:f>
              <c:numCache>
                <c:formatCode>General</c:formatCode>
                <c:ptCount val="5"/>
                <c:pt idx="0">
                  <c:v>0.48</c:v>
                </c:pt>
                <c:pt idx="1">
                  <c:v>0.16000000000000036</c:v>
                </c:pt>
                <c:pt idx="2">
                  <c:v>3.9999999999999147E-2</c:v>
                </c:pt>
                <c:pt idx="3">
                  <c:v>0.3199999999999994</c:v>
                </c:pt>
                <c:pt idx="4">
                  <c:v>-1</c:v>
                </c:pt>
              </c:numCache>
            </c:numRef>
          </c:yVal>
          <c:smooth val="0"/>
          <c:extLst>
            <c:ext xmlns:c16="http://schemas.microsoft.com/office/drawing/2014/chart" uri="{C3380CC4-5D6E-409C-BE32-E72D297353CC}">
              <c16:uniqueId val="{00000001-AF8C-B744-9D21-006052E6C789}"/>
            </c:ext>
          </c:extLst>
        </c:ser>
        <c:dLbls>
          <c:showLegendKey val="0"/>
          <c:showVal val="0"/>
          <c:showCatName val="0"/>
          <c:showSerName val="0"/>
          <c:showPercent val="0"/>
          <c:showBubbleSize val="0"/>
        </c:dLbls>
        <c:axId val="106453023"/>
        <c:axId val="2007891152"/>
      </c:scatterChart>
      <c:valAx>
        <c:axId val="106453023"/>
        <c:scaling>
          <c:orientation val="minMax"/>
        </c:scaling>
        <c:delete val="0"/>
        <c:axPos val="b"/>
        <c:title>
          <c:tx>
            <c:rich>
              <a:bodyPr/>
              <a:lstStyle/>
              <a:p>
                <a:pPr>
                  <a:defRPr/>
                </a:pPr>
                <a:r>
                  <a:rPr lang="es-MX"/>
                  <a:t>Ventas sabado a domingo</a:t>
                </a:r>
              </a:p>
            </c:rich>
          </c:tx>
          <c:overlay val="0"/>
        </c:title>
        <c:numFmt formatCode="General" sourceLinked="1"/>
        <c:majorTickMark val="out"/>
        <c:minorTickMark val="none"/>
        <c:tickLblPos val="nextTo"/>
        <c:crossAx val="2007891152"/>
        <c:crosses val="autoZero"/>
        <c:crossBetween val="midCat"/>
      </c:valAx>
      <c:valAx>
        <c:axId val="2007891152"/>
        <c:scaling>
          <c:orientation val="minMax"/>
        </c:scaling>
        <c:delete val="0"/>
        <c:axPos val="l"/>
        <c:title>
          <c:tx>
            <c:rich>
              <a:bodyPr/>
              <a:lstStyle/>
              <a:p>
                <a:pPr>
                  <a:defRPr/>
                </a:pPr>
                <a:r>
                  <a:rPr lang="es-MX"/>
                  <a:t>Residuos</a:t>
                </a:r>
              </a:p>
            </c:rich>
          </c:tx>
          <c:overlay val="0"/>
        </c:title>
        <c:numFmt formatCode="General" sourceLinked="1"/>
        <c:majorTickMark val="out"/>
        <c:minorTickMark val="none"/>
        <c:tickLblPos val="nextTo"/>
        <c:crossAx val="1064530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a:t>Ventas sabado a domingo Curva de regresión ajustada</a:t>
            </a:r>
          </a:p>
        </c:rich>
      </c:tx>
      <c:overlay val="0"/>
    </c:title>
    <c:autoTitleDeleted val="0"/>
    <c:plotArea>
      <c:layout/>
      <c:scatterChart>
        <c:scatterStyle val="lineMarker"/>
        <c:varyColors val="0"/>
        <c:ser>
          <c:idx val="0"/>
          <c:order val="0"/>
          <c:tx>
            <c:v>Números de transmisiones</c:v>
          </c:tx>
          <c:spPr>
            <a:ln w="38100">
              <a:noFill/>
            </a:ln>
          </c:spPr>
          <c:xVal>
            <c:numRef>
              <c:f>'Ejercicio 2'!$F$4:$F$8</c:f>
              <c:numCache>
                <c:formatCode>General</c:formatCode>
                <c:ptCount val="5"/>
                <c:pt idx="0">
                  <c:v>15</c:v>
                </c:pt>
                <c:pt idx="1">
                  <c:v>8</c:v>
                </c:pt>
                <c:pt idx="2">
                  <c:v>21</c:v>
                </c:pt>
                <c:pt idx="3">
                  <c:v>24</c:v>
                </c:pt>
                <c:pt idx="4">
                  <c:v>17</c:v>
                </c:pt>
              </c:numCache>
            </c:numRef>
          </c:xVal>
          <c:yVal>
            <c:numRef>
              <c:f>'Ejercicio 2'!$E$4:$E$8</c:f>
              <c:numCache>
                <c:formatCode>General</c:formatCode>
                <c:ptCount val="5"/>
                <c:pt idx="0">
                  <c:v>4</c:v>
                </c:pt>
                <c:pt idx="1">
                  <c:v>2</c:v>
                </c:pt>
                <c:pt idx="2">
                  <c:v>5</c:v>
                </c:pt>
                <c:pt idx="3">
                  <c:v>6</c:v>
                </c:pt>
                <c:pt idx="4">
                  <c:v>3</c:v>
                </c:pt>
              </c:numCache>
            </c:numRef>
          </c:yVal>
          <c:smooth val="0"/>
          <c:extLst>
            <c:ext xmlns:c16="http://schemas.microsoft.com/office/drawing/2014/chart" uri="{C3380CC4-5D6E-409C-BE32-E72D297353CC}">
              <c16:uniqueId val="{00000001-1D62-4D4C-B36D-CC197F9CA9DE}"/>
            </c:ext>
          </c:extLst>
        </c:ser>
        <c:ser>
          <c:idx val="1"/>
          <c:order val="1"/>
          <c:tx>
            <c:v>Pronóstico Números de transmisiones</c:v>
          </c:tx>
          <c:spPr>
            <a:ln w="38100">
              <a:noFill/>
            </a:ln>
          </c:spPr>
          <c:trendline>
            <c:trendlineType val="linear"/>
            <c:dispRSqr val="1"/>
            <c:dispEq val="1"/>
            <c:trendlineLbl>
              <c:layout>
                <c:manualLayout>
                  <c:x val="-0.19856753482737735"/>
                  <c:y val="-9.0617588464092597E-2"/>
                </c:manualLayout>
              </c:layout>
              <c:numFmt formatCode="General" sourceLinked="0"/>
            </c:trendlineLbl>
          </c:trendline>
          <c:xVal>
            <c:numRef>
              <c:f>'Ejercicio 2'!$F$4:$F$8</c:f>
              <c:numCache>
                <c:formatCode>General</c:formatCode>
                <c:ptCount val="5"/>
                <c:pt idx="0">
                  <c:v>15</c:v>
                </c:pt>
                <c:pt idx="1">
                  <c:v>8</c:v>
                </c:pt>
                <c:pt idx="2">
                  <c:v>21</c:v>
                </c:pt>
                <c:pt idx="3">
                  <c:v>24</c:v>
                </c:pt>
                <c:pt idx="4">
                  <c:v>17</c:v>
                </c:pt>
              </c:numCache>
            </c:numRef>
          </c:xVal>
          <c:yVal>
            <c:numRef>
              <c:f>'Ejercicio 2'!$N$28:$N$32</c:f>
              <c:numCache>
                <c:formatCode>General</c:formatCode>
                <c:ptCount val="5"/>
                <c:pt idx="0">
                  <c:v>3.52</c:v>
                </c:pt>
                <c:pt idx="1">
                  <c:v>1.8399999999999996</c:v>
                </c:pt>
                <c:pt idx="2">
                  <c:v>4.9600000000000009</c:v>
                </c:pt>
                <c:pt idx="3">
                  <c:v>5.6800000000000006</c:v>
                </c:pt>
                <c:pt idx="4">
                  <c:v>4</c:v>
                </c:pt>
              </c:numCache>
            </c:numRef>
          </c:yVal>
          <c:smooth val="0"/>
          <c:extLst>
            <c:ext xmlns:c16="http://schemas.microsoft.com/office/drawing/2014/chart" uri="{C3380CC4-5D6E-409C-BE32-E72D297353CC}">
              <c16:uniqueId val="{00000002-1D62-4D4C-B36D-CC197F9CA9DE}"/>
            </c:ext>
          </c:extLst>
        </c:ser>
        <c:dLbls>
          <c:showLegendKey val="0"/>
          <c:showVal val="0"/>
          <c:showCatName val="0"/>
          <c:showSerName val="0"/>
          <c:showPercent val="0"/>
          <c:showBubbleSize val="0"/>
        </c:dLbls>
        <c:axId val="2007396480"/>
        <c:axId val="2007664192"/>
      </c:scatterChart>
      <c:valAx>
        <c:axId val="2007396480"/>
        <c:scaling>
          <c:orientation val="minMax"/>
        </c:scaling>
        <c:delete val="0"/>
        <c:axPos val="b"/>
        <c:title>
          <c:tx>
            <c:rich>
              <a:bodyPr/>
              <a:lstStyle/>
              <a:p>
                <a:pPr>
                  <a:defRPr/>
                </a:pPr>
                <a:r>
                  <a:rPr lang="es-MX"/>
                  <a:t>Ventas sabado a domingo</a:t>
                </a:r>
              </a:p>
            </c:rich>
          </c:tx>
          <c:overlay val="0"/>
        </c:title>
        <c:numFmt formatCode="General" sourceLinked="1"/>
        <c:majorTickMark val="out"/>
        <c:minorTickMark val="none"/>
        <c:tickLblPos val="nextTo"/>
        <c:crossAx val="2007664192"/>
        <c:crosses val="autoZero"/>
        <c:crossBetween val="midCat"/>
      </c:valAx>
      <c:valAx>
        <c:axId val="2007664192"/>
        <c:scaling>
          <c:orientation val="minMax"/>
        </c:scaling>
        <c:delete val="0"/>
        <c:axPos val="l"/>
        <c:title>
          <c:tx>
            <c:rich>
              <a:bodyPr/>
              <a:lstStyle/>
              <a:p>
                <a:pPr>
                  <a:defRPr/>
                </a:pPr>
                <a:r>
                  <a:rPr lang="es-MX"/>
                  <a:t>Números de transmisiones</a:t>
                </a:r>
              </a:p>
            </c:rich>
          </c:tx>
          <c:overlay val="0"/>
        </c:title>
        <c:numFmt formatCode="General" sourceLinked="1"/>
        <c:majorTickMark val="out"/>
        <c:minorTickMark val="none"/>
        <c:tickLblPos val="nextTo"/>
        <c:crossAx val="200739648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a:t>Gráfico de probabilidad normal</a:t>
            </a:r>
          </a:p>
        </c:rich>
      </c:tx>
      <c:overlay val="0"/>
    </c:title>
    <c:autoTitleDeleted val="0"/>
    <c:plotArea>
      <c:layout/>
      <c:scatterChart>
        <c:scatterStyle val="lineMarker"/>
        <c:varyColors val="0"/>
        <c:ser>
          <c:idx val="0"/>
          <c:order val="0"/>
          <c:spPr>
            <a:ln w="38100">
              <a:noFill/>
            </a:ln>
          </c:spPr>
          <c:trendline>
            <c:trendlineType val="linear"/>
            <c:dispRSqr val="1"/>
            <c:dispEq val="1"/>
            <c:trendlineLbl>
              <c:layout>
                <c:manualLayout>
                  <c:x val="-0.32327256208358568"/>
                  <c:y val="-9.0254608892451321E-2"/>
                </c:manualLayout>
              </c:layout>
              <c:numFmt formatCode="General" sourceLinked="0"/>
            </c:trendlineLbl>
          </c:trendline>
          <c:xVal>
            <c:numRef>
              <c:f>'Ejercicio 2'!$R$28:$R$32</c:f>
              <c:numCache>
                <c:formatCode>General</c:formatCode>
                <c:ptCount val="5"/>
                <c:pt idx="0">
                  <c:v>10</c:v>
                </c:pt>
                <c:pt idx="1">
                  <c:v>30</c:v>
                </c:pt>
                <c:pt idx="2">
                  <c:v>50</c:v>
                </c:pt>
                <c:pt idx="3">
                  <c:v>70</c:v>
                </c:pt>
                <c:pt idx="4">
                  <c:v>90</c:v>
                </c:pt>
              </c:numCache>
            </c:numRef>
          </c:xVal>
          <c:yVal>
            <c:numRef>
              <c:f>'Ejercicio 2'!$S$28:$S$32</c:f>
              <c:numCache>
                <c:formatCode>General</c:formatCode>
                <c:ptCount val="5"/>
                <c:pt idx="0">
                  <c:v>2</c:v>
                </c:pt>
                <c:pt idx="1">
                  <c:v>3</c:v>
                </c:pt>
                <c:pt idx="2">
                  <c:v>4</c:v>
                </c:pt>
                <c:pt idx="3">
                  <c:v>5</c:v>
                </c:pt>
                <c:pt idx="4">
                  <c:v>6</c:v>
                </c:pt>
              </c:numCache>
            </c:numRef>
          </c:yVal>
          <c:smooth val="0"/>
          <c:extLst>
            <c:ext xmlns:c16="http://schemas.microsoft.com/office/drawing/2014/chart" uri="{C3380CC4-5D6E-409C-BE32-E72D297353CC}">
              <c16:uniqueId val="{00000000-1591-DB4A-AF92-3294D7CC8325}"/>
            </c:ext>
          </c:extLst>
        </c:ser>
        <c:dLbls>
          <c:showLegendKey val="0"/>
          <c:showVal val="0"/>
          <c:showCatName val="0"/>
          <c:showSerName val="0"/>
          <c:showPercent val="0"/>
          <c:showBubbleSize val="0"/>
        </c:dLbls>
        <c:axId val="2000467744"/>
        <c:axId val="2000469456"/>
      </c:scatterChart>
      <c:valAx>
        <c:axId val="2000467744"/>
        <c:scaling>
          <c:orientation val="minMax"/>
        </c:scaling>
        <c:delete val="0"/>
        <c:axPos val="b"/>
        <c:title>
          <c:tx>
            <c:rich>
              <a:bodyPr/>
              <a:lstStyle/>
              <a:p>
                <a:pPr>
                  <a:defRPr/>
                </a:pPr>
                <a:r>
                  <a:rPr lang="es-MX"/>
                  <a:t>Muestra percentil</a:t>
                </a:r>
              </a:p>
            </c:rich>
          </c:tx>
          <c:overlay val="0"/>
        </c:title>
        <c:numFmt formatCode="General" sourceLinked="1"/>
        <c:majorTickMark val="out"/>
        <c:minorTickMark val="none"/>
        <c:tickLblPos val="nextTo"/>
        <c:crossAx val="2000469456"/>
        <c:crosses val="autoZero"/>
        <c:crossBetween val="midCat"/>
      </c:valAx>
      <c:valAx>
        <c:axId val="2000469456"/>
        <c:scaling>
          <c:orientation val="minMax"/>
        </c:scaling>
        <c:delete val="0"/>
        <c:axPos val="l"/>
        <c:title>
          <c:tx>
            <c:rich>
              <a:bodyPr/>
              <a:lstStyle/>
              <a:p>
                <a:pPr>
                  <a:defRPr/>
                </a:pPr>
                <a:r>
                  <a:rPr lang="es-MX"/>
                  <a:t>Números de transmisiones</a:t>
                </a:r>
              </a:p>
            </c:rich>
          </c:tx>
          <c:overlay val="0"/>
        </c:title>
        <c:numFmt formatCode="General" sourceLinked="1"/>
        <c:majorTickMark val="out"/>
        <c:minorTickMark val="none"/>
        <c:tickLblPos val="nextTo"/>
        <c:crossAx val="200046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'Ejercicio 3'!$C$3</c:f>
              <c:strCache>
                <c:ptCount val="1"/>
                <c:pt idx="0">
                  <c:v>Produccion en una hora</c:v>
                </c:pt>
              </c:strCache>
            </c:strRef>
          </c:tx>
          <c:spPr>
            <a:ln w="381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6.0823490813648295E-2"/>
                  <c:y val="-3.8856080489938758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'Ejercicio 3'!$B$4:$B$8</c:f>
              <c:numCache>
                <c:formatCode>General</c:formatCode>
                <c:ptCount val="5"/>
                <c:pt idx="0">
                  <c:v>2</c:v>
                </c:pt>
                <c:pt idx="1">
                  <c:v>4</c:v>
                </c:pt>
                <c:pt idx="2">
                  <c:v>1</c:v>
                </c:pt>
                <c:pt idx="3">
                  <c:v>5</c:v>
                </c:pt>
                <c:pt idx="4">
                  <c:v>3</c:v>
                </c:pt>
              </c:numCache>
            </c:numRef>
          </c:xVal>
          <c:yVal>
            <c:numRef>
              <c:f>'Ejercicio 3'!$C$4:$C$8</c:f>
              <c:numCache>
                <c:formatCode>General</c:formatCode>
                <c:ptCount val="5"/>
                <c:pt idx="0">
                  <c:v>15</c:v>
                </c:pt>
                <c:pt idx="1">
                  <c:v>25</c:v>
                </c:pt>
                <c:pt idx="2">
                  <c:v>10</c:v>
                </c:pt>
                <c:pt idx="3">
                  <c:v>40</c:v>
                </c:pt>
                <c:pt idx="4">
                  <c:v>30</c:v>
                </c:pt>
              </c:numCache>
            </c:numRef>
          </c:yVal>
          <c:smooth val="0"/>
          <c:extLst>
            <c:ext xmlns:c16="http://schemas.microsoft.com/office/drawing/2014/chart" uri="{C3380CC4-5D6E-409C-BE32-E72D297353CC}">
              <c16:uniqueId val="{00000000-1DEE-4425-B34E-2100F7F1ADD2}"/>
            </c:ext>
          </c:extLst>
        </c:ser>
        <c:dLbls>
          <c:dLblPos val="t"/>
          <c:showLegendKey val="0"/>
          <c:showVal val="1"/>
          <c:showCatName val="0"/>
          <c:showSerName val="0"/>
          <c:showPercent val="0"/>
          <c:showBubbleSize val="0"/>
        </c:dLbls>
        <c:axId val="1325589424"/>
        <c:axId val="1325588944"/>
      </c:scatterChart>
      <c:valAx>
        <c:axId val="132558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88944"/>
        <c:crosses val="autoZero"/>
        <c:crossBetween val="midCat"/>
      </c:valAx>
      <c:valAx>
        <c:axId val="132558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894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'Ejercicio 4'!$G$7</c:f>
              <c:strCache>
                <c:ptCount val="1"/>
                <c:pt idx="0">
                  <c:v>%VO2</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'Ejercicio 4'!$F$8:$F$19</c:f>
              <c:numCache>
                <c:formatCode>General</c:formatCode>
                <c:ptCount val="12"/>
                <c:pt idx="0">
                  <c:v>50</c:v>
                </c:pt>
                <c:pt idx="1">
                  <c:v>55</c:v>
                </c:pt>
                <c:pt idx="2">
                  <c:v>60</c:v>
                </c:pt>
                <c:pt idx="3">
                  <c:v>65</c:v>
                </c:pt>
                <c:pt idx="4">
                  <c:v>70</c:v>
                </c:pt>
                <c:pt idx="5">
                  <c:v>75</c:v>
                </c:pt>
                <c:pt idx="6">
                  <c:v>90</c:v>
                </c:pt>
                <c:pt idx="7">
                  <c:v>45</c:v>
                </c:pt>
                <c:pt idx="8">
                  <c:v>80</c:v>
                </c:pt>
                <c:pt idx="9">
                  <c:v>75</c:v>
                </c:pt>
                <c:pt idx="10">
                  <c:v>85</c:v>
                </c:pt>
                <c:pt idx="11">
                  <c:v>45</c:v>
                </c:pt>
              </c:numCache>
            </c:numRef>
          </c:xVal>
          <c:yVal>
            <c:numRef>
              <c:f>'Ejercicio 4'!$G$8:$G$19</c:f>
              <c:numCache>
                <c:formatCode>General</c:formatCode>
                <c:ptCount val="12"/>
                <c:pt idx="0">
                  <c:v>55</c:v>
                </c:pt>
                <c:pt idx="1">
                  <c:v>50</c:v>
                </c:pt>
                <c:pt idx="2">
                  <c:v>65</c:v>
                </c:pt>
                <c:pt idx="3">
                  <c:v>75</c:v>
                </c:pt>
                <c:pt idx="4">
                  <c:v>75</c:v>
                </c:pt>
                <c:pt idx="5">
                  <c:v>60</c:v>
                </c:pt>
                <c:pt idx="6">
                  <c:v>95</c:v>
                </c:pt>
                <c:pt idx="7">
                  <c:v>40</c:v>
                </c:pt>
                <c:pt idx="8">
                  <c:v>90</c:v>
                </c:pt>
                <c:pt idx="9">
                  <c:v>80</c:v>
                </c:pt>
                <c:pt idx="10">
                  <c:v>80</c:v>
                </c:pt>
                <c:pt idx="11">
                  <c:v>50</c:v>
                </c:pt>
              </c:numCache>
            </c:numRef>
          </c:yVal>
          <c:smooth val="0"/>
          <c:extLst>
            <c:ext xmlns:c16="http://schemas.microsoft.com/office/drawing/2014/chart" uri="{C3380CC4-5D6E-409C-BE32-E72D297353CC}">
              <c16:uniqueId val="{00000001-EDA9-4743-AFA2-5BAF8EB0EE8D}"/>
            </c:ext>
          </c:extLst>
        </c:ser>
        <c:dLbls>
          <c:showLegendKey val="0"/>
          <c:showVal val="0"/>
          <c:showCatName val="0"/>
          <c:showSerName val="0"/>
          <c:showPercent val="0"/>
          <c:showBubbleSize val="0"/>
        </c:dLbls>
        <c:axId val="394267144"/>
        <c:axId val="676764680"/>
      </c:scatterChart>
      <c:valAx>
        <c:axId val="394267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64680"/>
        <c:crosses val="autoZero"/>
        <c:crossBetween val="midCat"/>
      </c:valAx>
      <c:valAx>
        <c:axId val="676764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67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28575</xdr:rowOff>
    </xdr:from>
    <xdr:to>
      <xdr:col>2</xdr:col>
      <xdr:colOff>495300</xdr:colOff>
      <xdr:row>30</xdr:row>
      <xdr:rowOff>180975</xdr:rowOff>
    </xdr:to>
    <xdr:pic>
      <xdr:nvPicPr>
        <xdr:cNvPr id="2" name="Picture 1">
          <a:extLst>
            <a:ext uri="{FF2B5EF4-FFF2-40B4-BE49-F238E27FC236}">
              <a16:creationId xmlns:a16="http://schemas.microsoft.com/office/drawing/2014/main" id="{6F150E36-EFA6-833E-F960-72C423A7898E}"/>
            </a:ext>
          </a:extLst>
        </xdr:cNvPr>
        <xdr:cNvPicPr>
          <a:picLocks noChangeAspect="1"/>
        </xdr:cNvPicPr>
      </xdr:nvPicPr>
      <xdr:blipFill>
        <a:blip xmlns:r="http://schemas.openxmlformats.org/officeDocument/2006/relationships" r:embed="rId1"/>
        <a:stretch>
          <a:fillRect/>
        </a:stretch>
      </xdr:blipFill>
      <xdr:spPr>
        <a:xfrm>
          <a:off x="0" y="7038975"/>
          <a:ext cx="4572000" cy="1752600"/>
        </a:xfrm>
        <a:prstGeom prst="rect">
          <a:avLst/>
        </a:prstGeom>
      </xdr:spPr>
    </xdr:pic>
    <xdr:clientData/>
  </xdr:twoCellAnchor>
  <xdr:twoCellAnchor editAs="oneCell">
    <xdr:from>
      <xdr:col>0</xdr:col>
      <xdr:colOff>0</xdr:colOff>
      <xdr:row>50</xdr:row>
      <xdr:rowOff>0</xdr:rowOff>
    </xdr:from>
    <xdr:to>
      <xdr:col>2</xdr:col>
      <xdr:colOff>495300</xdr:colOff>
      <xdr:row>60</xdr:row>
      <xdr:rowOff>161925</xdr:rowOff>
    </xdr:to>
    <xdr:pic>
      <xdr:nvPicPr>
        <xdr:cNvPr id="3" name="Picture 2">
          <a:extLst>
            <a:ext uri="{FF2B5EF4-FFF2-40B4-BE49-F238E27FC236}">
              <a16:creationId xmlns:a16="http://schemas.microsoft.com/office/drawing/2014/main" id="{EA2F6688-F3D6-68D1-35F9-E4C9157C34FA}"/>
            </a:ext>
            <a:ext uri="{147F2762-F138-4A5C-976F-8EAC2B608ADB}">
              <a16:predDERef xmlns:a16="http://schemas.microsoft.com/office/drawing/2014/main" pred="{6F150E36-EFA6-833E-F960-72C423A7898E}"/>
            </a:ext>
          </a:extLst>
        </xdr:cNvPr>
        <xdr:cNvPicPr>
          <a:picLocks noChangeAspect="1"/>
        </xdr:cNvPicPr>
      </xdr:nvPicPr>
      <xdr:blipFill>
        <a:blip xmlns:r="http://schemas.openxmlformats.org/officeDocument/2006/relationships" r:embed="rId2"/>
        <a:stretch>
          <a:fillRect/>
        </a:stretch>
      </xdr:blipFill>
      <xdr:spPr>
        <a:xfrm>
          <a:off x="0" y="13096875"/>
          <a:ext cx="4572000" cy="2162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0</xdr:row>
      <xdr:rowOff>1524000</xdr:rowOff>
    </xdr:from>
    <xdr:to>
      <xdr:col>23</xdr:col>
      <xdr:colOff>330200</xdr:colOff>
      <xdr:row>10</xdr:row>
      <xdr:rowOff>241300</xdr:rowOff>
    </xdr:to>
    <xdr:graphicFrame macro="">
      <xdr:nvGraphicFramePr>
        <xdr:cNvPr id="5" name="Gráfico 4">
          <a:extLst>
            <a:ext uri="{FF2B5EF4-FFF2-40B4-BE49-F238E27FC236}">
              <a16:creationId xmlns:a16="http://schemas.microsoft.com/office/drawing/2014/main" id="{303A8C19-D00C-3078-8B4B-B3705AC8F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800100</xdr:colOff>
      <xdr:row>12</xdr:row>
      <xdr:rowOff>127000</xdr:rowOff>
    </xdr:from>
    <xdr:to>
      <xdr:col>5</xdr:col>
      <xdr:colOff>787400</xdr:colOff>
      <xdr:row>22</xdr:row>
      <xdr:rowOff>152400</xdr:rowOff>
    </xdr:to>
    <xdr:graphicFrame macro="">
      <xdr:nvGraphicFramePr>
        <xdr:cNvPr id="6" name="Gráfico 5">
          <a:extLst>
            <a:ext uri="{FF2B5EF4-FFF2-40B4-BE49-F238E27FC236}">
              <a16:creationId xmlns:a16="http://schemas.microsoft.com/office/drawing/2014/main" id="{5CE425CD-3B86-43C7-1F5A-0C67E8196950}"/>
            </a:ext>
            <a:ext uri="{147F2762-F138-4A5C-976F-8EAC2B608ADB}">
              <a16:predDERef xmlns:a16="http://schemas.microsoft.com/office/drawing/2014/main" pred="{303A8C19-D00C-3078-8B4B-B3705AC8F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39</xdr:row>
      <xdr:rowOff>88900</xdr:rowOff>
    </xdr:from>
    <xdr:to>
      <xdr:col>3</xdr:col>
      <xdr:colOff>774700</xdr:colOff>
      <xdr:row>49</xdr:row>
      <xdr:rowOff>152400</xdr:rowOff>
    </xdr:to>
    <xdr:graphicFrame macro="">
      <xdr:nvGraphicFramePr>
        <xdr:cNvPr id="8" name="Gráfico 7">
          <a:extLst>
            <a:ext uri="{FF2B5EF4-FFF2-40B4-BE49-F238E27FC236}">
              <a16:creationId xmlns:a16="http://schemas.microsoft.com/office/drawing/2014/main" id="{0EB11461-FA84-E44B-8970-51529F341C4F}"/>
            </a:ext>
            <a:ext uri="{147F2762-F138-4A5C-976F-8EAC2B608ADB}">
              <a16:predDERef xmlns:a16="http://schemas.microsoft.com/office/drawing/2014/main" pred="{5CE425CD-3B86-43C7-1F5A-0C67E8196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12</xdr:row>
      <xdr:rowOff>133349</xdr:rowOff>
    </xdr:from>
    <xdr:to>
      <xdr:col>6</xdr:col>
      <xdr:colOff>409575</xdr:colOff>
      <xdr:row>26</xdr:row>
      <xdr:rowOff>76199</xdr:rowOff>
    </xdr:to>
    <xdr:graphicFrame macro="">
      <xdr:nvGraphicFramePr>
        <xdr:cNvPr id="2" name="Chart 1">
          <a:extLst>
            <a:ext uri="{FF2B5EF4-FFF2-40B4-BE49-F238E27FC236}">
              <a16:creationId xmlns:a16="http://schemas.microsoft.com/office/drawing/2014/main" id="{04201D43-3696-CA5F-2F69-0A6545A24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23</xdr:row>
      <xdr:rowOff>38100</xdr:rowOff>
    </xdr:from>
    <xdr:to>
      <xdr:col>7</xdr:col>
      <xdr:colOff>466725</xdr:colOff>
      <xdr:row>36</xdr:row>
      <xdr:rowOff>180975</xdr:rowOff>
    </xdr:to>
    <xdr:graphicFrame macro="">
      <xdr:nvGraphicFramePr>
        <xdr:cNvPr id="4" name="Gráfico 3">
          <a:extLst>
            <a:ext uri="{FF2B5EF4-FFF2-40B4-BE49-F238E27FC236}">
              <a16:creationId xmlns:a16="http://schemas.microsoft.com/office/drawing/2014/main" id="{5011CDC6-89F8-E896-F7F8-947B4A71A246}"/>
            </a:ext>
            <a:ext uri="{147F2762-F138-4A5C-976F-8EAC2B608ADB}">
              <a16:predDERef xmlns:a16="http://schemas.microsoft.com/office/drawing/2014/main" pred="{EA3821EF-C756-47C8-AE85-14B476B57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809625</xdr:colOff>
      <xdr:row>0</xdr:row>
      <xdr:rowOff>180975</xdr:rowOff>
    </xdr:from>
    <xdr:to>
      <xdr:col>17</xdr:col>
      <xdr:colOff>685800</xdr:colOff>
      <xdr:row>23</xdr:row>
      <xdr:rowOff>114300</xdr:rowOff>
    </xdr:to>
    <xdr:pic>
      <xdr:nvPicPr>
        <xdr:cNvPr id="2" name="Imagen 1">
          <a:extLst>
            <a:ext uri="{FF2B5EF4-FFF2-40B4-BE49-F238E27FC236}">
              <a16:creationId xmlns:a16="http://schemas.microsoft.com/office/drawing/2014/main" id="{C2A9EE42-C078-EB15-BDF1-B19E086D9D61}"/>
            </a:ext>
            <a:ext uri="{147F2762-F138-4A5C-976F-8EAC2B608ADB}">
              <a16:predDERef xmlns:a16="http://schemas.microsoft.com/office/drawing/2014/main" pred="{5011CDC6-89F8-E896-F7F8-947B4A71A246}"/>
            </a:ext>
          </a:extLst>
        </xdr:cNvPr>
        <xdr:cNvPicPr>
          <a:picLocks noChangeAspect="1"/>
        </xdr:cNvPicPr>
      </xdr:nvPicPr>
      <xdr:blipFill>
        <a:blip xmlns:r="http://schemas.openxmlformats.org/officeDocument/2006/relationships" r:embed="rId2"/>
        <a:stretch>
          <a:fillRect/>
        </a:stretch>
      </xdr:blipFill>
      <xdr:spPr>
        <a:xfrm>
          <a:off x="8353425" y="180975"/>
          <a:ext cx="7553325" cy="4686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5</xdr:col>
      <xdr:colOff>819150</xdr:colOff>
      <xdr:row>31</xdr:row>
      <xdr:rowOff>66675</xdr:rowOff>
    </xdr:to>
    <xdr:pic>
      <xdr:nvPicPr>
        <xdr:cNvPr id="2" name="Picture 1">
          <a:extLst>
            <a:ext uri="{FF2B5EF4-FFF2-40B4-BE49-F238E27FC236}">
              <a16:creationId xmlns:a16="http://schemas.microsoft.com/office/drawing/2014/main" id="{989C3105-A5E8-053C-AC20-2185597449F0}"/>
            </a:ext>
          </a:extLst>
        </xdr:cNvPr>
        <xdr:cNvPicPr>
          <a:picLocks noChangeAspect="1"/>
        </xdr:cNvPicPr>
      </xdr:nvPicPr>
      <xdr:blipFill>
        <a:blip xmlns:r="http://schemas.openxmlformats.org/officeDocument/2006/relationships" r:embed="rId1"/>
        <a:stretch>
          <a:fillRect/>
        </a:stretch>
      </xdr:blipFill>
      <xdr:spPr>
        <a:xfrm>
          <a:off x="0" y="5200650"/>
          <a:ext cx="6038850" cy="2667000"/>
        </a:xfrm>
        <a:prstGeom prst="rect">
          <a:avLst/>
        </a:prstGeom>
      </xdr:spPr>
    </xdr:pic>
    <xdr:clientData/>
  </xdr:twoCellAnchor>
  <xdr:twoCellAnchor editAs="oneCell">
    <xdr:from>
      <xdr:col>0</xdr:col>
      <xdr:colOff>0</xdr:colOff>
      <xdr:row>51</xdr:row>
      <xdr:rowOff>0</xdr:rowOff>
    </xdr:from>
    <xdr:to>
      <xdr:col>5</xdr:col>
      <xdr:colOff>352425</xdr:colOff>
      <xdr:row>57</xdr:row>
      <xdr:rowOff>38100</xdr:rowOff>
    </xdr:to>
    <xdr:pic>
      <xdr:nvPicPr>
        <xdr:cNvPr id="3" name="Picture 2">
          <a:extLst>
            <a:ext uri="{FF2B5EF4-FFF2-40B4-BE49-F238E27FC236}">
              <a16:creationId xmlns:a16="http://schemas.microsoft.com/office/drawing/2014/main" id="{C568F10D-F097-1767-E3EA-0A0390BF8046}"/>
            </a:ext>
            <a:ext uri="{147F2762-F138-4A5C-976F-8EAC2B608ADB}">
              <a16:predDERef xmlns:a16="http://schemas.microsoft.com/office/drawing/2014/main" pred="{989C3105-A5E8-053C-AC20-2185597449F0}"/>
            </a:ext>
          </a:extLst>
        </xdr:cNvPr>
        <xdr:cNvPicPr>
          <a:picLocks noChangeAspect="1"/>
        </xdr:cNvPicPr>
      </xdr:nvPicPr>
      <xdr:blipFill>
        <a:blip xmlns:r="http://schemas.openxmlformats.org/officeDocument/2006/relationships" r:embed="rId2"/>
        <a:stretch>
          <a:fillRect/>
        </a:stretch>
      </xdr:blipFill>
      <xdr:spPr>
        <a:xfrm>
          <a:off x="0" y="11991975"/>
          <a:ext cx="5572125" cy="3200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Fabiana Ramirez  Quesada" id="{67CC66D6-C29C-EF42-90BB-B873599B5270}" userId="S::framirezq241@ulacit.ed.cr::8ec4ce88-e342-416d-b842-052120bccaf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3" dT="2024-08-13T03:13:20.75" personId="{67CC66D6-C29C-EF42-90BB-B873599B5270}" id="{62384069-5B23-DA44-B756-50D01965220B}">
    <text>El indicador es que si r o r2 &gt;=70% existe una adeucada relación lineal y una menor variabilidad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369F-E52C-ED4F-8284-B28B5560B4DD}">
  <dimension ref="A1:X70"/>
  <sheetViews>
    <sheetView topLeftCell="A75" workbookViewId="0">
      <selection activeCell="B85" sqref="B85"/>
    </sheetView>
  </sheetViews>
  <sheetFormatPr defaultColWidth="11" defaultRowHeight="15.75"/>
  <cols>
    <col min="1" max="1" width="29.375" customWidth="1"/>
    <col min="2" max="2" width="24.125" customWidth="1"/>
    <col min="5" max="5" width="38.75" customWidth="1"/>
  </cols>
  <sheetData>
    <row r="1" spans="1:2" ht="18">
      <c r="A1" s="48" t="s">
        <v>0</v>
      </c>
    </row>
    <row r="3" spans="1:2" ht="22.5">
      <c r="A3" s="28" t="s">
        <v>1</v>
      </c>
    </row>
    <row r="4" spans="1:2" ht="22.5">
      <c r="A4" s="29" t="s">
        <v>2</v>
      </c>
    </row>
    <row r="5" spans="1:2" ht="22.5">
      <c r="A5" s="29" t="s">
        <v>3</v>
      </c>
    </row>
    <row r="8" spans="1:2" ht="47.25">
      <c r="A8" s="30" t="s">
        <v>4</v>
      </c>
      <c r="B8" s="31" t="s">
        <v>5</v>
      </c>
    </row>
    <row r="9" spans="1:2" ht="23.25">
      <c r="A9" s="32">
        <v>30</v>
      </c>
      <c r="B9" s="33">
        <v>120</v>
      </c>
    </row>
    <row r="10" spans="1:2" ht="23.25">
      <c r="A10" s="32">
        <v>45</v>
      </c>
      <c r="B10" s="33">
        <v>130</v>
      </c>
    </row>
    <row r="11" spans="1:2" ht="23.25">
      <c r="A11" s="32">
        <v>50</v>
      </c>
      <c r="B11" s="33">
        <v>135</v>
      </c>
    </row>
    <row r="12" spans="1:2" ht="23.25">
      <c r="A12" s="32">
        <v>60</v>
      </c>
      <c r="B12" s="33">
        <v>145</v>
      </c>
    </row>
    <row r="13" spans="1:2" ht="23.25">
      <c r="A13" s="32">
        <v>70</v>
      </c>
      <c r="B13" s="33">
        <v>155</v>
      </c>
    </row>
    <row r="15" spans="1:2" ht="70.5">
      <c r="A15" s="34" t="s">
        <v>6</v>
      </c>
      <c r="B15" s="35" t="s">
        <v>7</v>
      </c>
    </row>
    <row r="16" spans="1:2" ht="70.5">
      <c r="A16" s="36" t="s">
        <v>8</v>
      </c>
      <c r="B16" s="37" t="s">
        <v>9</v>
      </c>
    </row>
    <row r="21" spans="1:1" ht="22.5">
      <c r="A21" s="28" t="s">
        <v>10</v>
      </c>
    </row>
    <row r="33" spans="1:24" ht="22.5">
      <c r="A33" s="28" t="s">
        <v>11</v>
      </c>
      <c r="O33" s="40"/>
      <c r="P33" s="65" t="s">
        <v>12</v>
      </c>
      <c r="Q33" s="65"/>
    </row>
    <row r="34" spans="1:24">
      <c r="O34" s="40"/>
      <c r="P34" s="42" t="s">
        <v>13</v>
      </c>
      <c r="Q34" s="42">
        <v>1</v>
      </c>
    </row>
    <row r="35" spans="1:24">
      <c r="O35" s="40"/>
      <c r="P35" s="42" t="s">
        <v>14</v>
      </c>
      <c r="Q35" s="42">
        <v>1</v>
      </c>
    </row>
    <row r="36" spans="1:24" ht="18.75">
      <c r="A36" s="38" t="s">
        <v>15</v>
      </c>
      <c r="O36" s="40"/>
      <c r="P36" s="40" t="s">
        <v>16</v>
      </c>
      <c r="Q36" s="40">
        <v>1</v>
      </c>
    </row>
    <row r="37" spans="1:24">
      <c r="O37" s="40"/>
      <c r="P37" s="40" t="s">
        <v>17</v>
      </c>
      <c r="Q37" s="40">
        <v>0</v>
      </c>
    </row>
    <row r="38" spans="1:24">
      <c r="O38" s="40"/>
      <c r="P38" s="43" t="s">
        <v>18</v>
      </c>
      <c r="Q38" s="43">
        <v>4</v>
      </c>
    </row>
    <row r="41" spans="1:24" ht="22.5">
      <c r="A41" s="28" t="s">
        <v>19</v>
      </c>
      <c r="P41" s="44" t="s">
        <v>20</v>
      </c>
      <c r="Q41" s="44" t="s">
        <v>21</v>
      </c>
      <c r="R41" s="44" t="s">
        <v>17</v>
      </c>
      <c r="S41" s="44" t="s">
        <v>22</v>
      </c>
      <c r="T41" s="44" t="s">
        <v>23</v>
      </c>
      <c r="U41" s="44" t="s">
        <v>24</v>
      </c>
      <c r="V41" s="44" t="s">
        <v>25</v>
      </c>
      <c r="W41" s="44" t="s">
        <v>26</v>
      </c>
      <c r="X41" s="44" t="s">
        <v>27</v>
      </c>
    </row>
    <row r="42" spans="1:24">
      <c r="P42" s="45" t="s">
        <v>28</v>
      </c>
      <c r="Q42" s="45">
        <v>85</v>
      </c>
      <c r="R42" s="45">
        <v>0</v>
      </c>
      <c r="S42" s="45">
        <v>65535</v>
      </c>
      <c r="T42" s="45" t="e">
        <v>#NUM!</v>
      </c>
      <c r="U42" s="45">
        <v>85</v>
      </c>
      <c r="V42" s="45">
        <v>85</v>
      </c>
      <c r="W42" s="45">
        <v>85</v>
      </c>
      <c r="X42" s="45">
        <v>85</v>
      </c>
    </row>
    <row r="43" spans="1:24">
      <c r="P43" s="46">
        <v>30</v>
      </c>
      <c r="Q43" s="46">
        <v>1</v>
      </c>
      <c r="R43" s="46">
        <v>0</v>
      </c>
      <c r="S43" s="46">
        <v>65535</v>
      </c>
      <c r="T43" s="46" t="e">
        <v>#NUM!</v>
      </c>
      <c r="U43" s="46">
        <v>1</v>
      </c>
      <c r="V43" s="46">
        <v>1</v>
      </c>
      <c r="W43" s="46">
        <v>1</v>
      </c>
      <c r="X43" s="46">
        <v>1</v>
      </c>
    </row>
    <row r="44" spans="1:24" ht="23.25">
      <c r="A44" s="39" t="s">
        <v>13</v>
      </c>
      <c r="B44" s="39">
        <v>1</v>
      </c>
      <c r="P44" s="38" t="s">
        <v>29</v>
      </c>
      <c r="Q44" s="45"/>
      <c r="R44" s="45"/>
      <c r="S44" s="45"/>
      <c r="T44" s="45"/>
      <c r="U44" s="45"/>
      <c r="V44" s="45"/>
      <c r="W44" s="45"/>
      <c r="X44" s="45"/>
    </row>
    <row r="45" spans="1:24" ht="23.25">
      <c r="A45" s="39" t="s">
        <v>14</v>
      </c>
      <c r="B45" s="39">
        <v>1</v>
      </c>
    </row>
    <row r="47" spans="1:24">
      <c r="P47" s="66" t="s">
        <v>30</v>
      </c>
      <c r="Q47" s="66"/>
      <c r="R47" s="40"/>
      <c r="S47" s="40"/>
    </row>
    <row r="48" spans="1:24" ht="22.5">
      <c r="A48" s="28" t="s">
        <v>31</v>
      </c>
      <c r="P48" s="40"/>
      <c r="Q48" s="40"/>
      <c r="R48" s="40"/>
      <c r="S48" s="40"/>
    </row>
    <row r="49" spans="1:19">
      <c r="P49" s="41" t="s">
        <v>32</v>
      </c>
      <c r="Q49" s="41" t="s">
        <v>33</v>
      </c>
      <c r="R49" s="41" t="s">
        <v>34</v>
      </c>
      <c r="S49" s="41" t="s">
        <v>35</v>
      </c>
    </row>
    <row r="50" spans="1:19">
      <c r="P50" s="40">
        <v>1</v>
      </c>
      <c r="Q50" s="40">
        <v>130</v>
      </c>
      <c r="R50" s="40">
        <v>0</v>
      </c>
      <c r="S50" s="40">
        <v>65535</v>
      </c>
    </row>
    <row r="51" spans="1:19">
      <c r="E51" s="66" t="s">
        <v>36</v>
      </c>
      <c r="F51" s="66"/>
      <c r="P51" s="40">
        <v>2</v>
      </c>
      <c r="Q51" s="40">
        <v>135</v>
      </c>
      <c r="R51" s="40">
        <v>0</v>
      </c>
      <c r="S51" s="40">
        <v>65535</v>
      </c>
    </row>
    <row r="52" spans="1:19">
      <c r="E52" s="40"/>
      <c r="F52" s="40"/>
      <c r="P52" s="40">
        <v>3</v>
      </c>
      <c r="Q52" s="40">
        <v>145</v>
      </c>
      <c r="R52" s="40">
        <v>0</v>
      </c>
      <c r="S52" s="40">
        <v>65535</v>
      </c>
    </row>
    <row r="53" spans="1:19">
      <c r="E53" s="41" t="s">
        <v>37</v>
      </c>
      <c r="F53" s="41">
        <v>120</v>
      </c>
      <c r="P53" s="43">
        <v>4</v>
      </c>
      <c r="Q53" s="43">
        <v>155</v>
      </c>
      <c r="R53" s="43">
        <v>0</v>
      </c>
      <c r="S53" s="43">
        <v>65535</v>
      </c>
    </row>
    <row r="54" spans="1:19">
      <c r="E54" s="40">
        <v>12.5</v>
      </c>
      <c r="F54" s="40">
        <v>130</v>
      </c>
    </row>
    <row r="55" spans="1:19">
      <c r="E55" s="40" t="e">
        <v>#NUM!</v>
      </c>
      <c r="F55" s="40">
        <v>135</v>
      </c>
    </row>
    <row r="56" spans="1:19">
      <c r="E56" s="40">
        <v>62.5</v>
      </c>
      <c r="F56" s="40">
        <v>145</v>
      </c>
    </row>
    <row r="57" spans="1:19">
      <c r="E57" s="43">
        <v>87.5</v>
      </c>
      <c r="F57" s="43">
        <v>155</v>
      </c>
    </row>
    <row r="64" spans="1:19" ht="22.5">
      <c r="A64" s="28" t="s">
        <v>38</v>
      </c>
    </row>
    <row r="66" spans="1:5" ht="23.25">
      <c r="A66" s="47" t="s">
        <v>39</v>
      </c>
      <c r="B66" s="45"/>
      <c r="C66" s="45"/>
      <c r="D66" s="45"/>
      <c r="E66" s="45"/>
    </row>
    <row r="67" spans="1:5">
      <c r="A67" s="45"/>
      <c r="B67" s="45"/>
      <c r="C67" s="45"/>
      <c r="D67" s="45"/>
      <c r="E67" s="45"/>
    </row>
    <row r="68" spans="1:5" ht="23.25">
      <c r="A68" s="47" t="s">
        <v>40</v>
      </c>
      <c r="B68" s="47">
        <v>150</v>
      </c>
      <c r="C68" s="45"/>
      <c r="D68" s="45"/>
      <c r="E68" s="45"/>
    </row>
    <row r="69" spans="1:5">
      <c r="A69" s="45"/>
      <c r="B69" s="45"/>
      <c r="C69" s="45"/>
      <c r="D69" s="45"/>
      <c r="E69" s="45"/>
    </row>
    <row r="70" spans="1:5" ht="23.25">
      <c r="A70" s="67" t="s">
        <v>41</v>
      </c>
      <c r="B70" s="67"/>
      <c r="C70" s="67"/>
      <c r="D70" s="67"/>
      <c r="E70" s="67"/>
    </row>
  </sheetData>
  <mergeCells count="4">
    <mergeCell ref="P33:Q33"/>
    <mergeCell ref="E51:F51"/>
    <mergeCell ref="A70:E70"/>
    <mergeCell ref="P47:Q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4F95-97BA-E642-94F7-01757082023B}">
  <dimension ref="A1:U57"/>
  <sheetViews>
    <sheetView workbookViewId="0">
      <selection activeCell="G23" sqref="G23"/>
    </sheetView>
  </sheetViews>
  <sheetFormatPr defaultColWidth="11" defaultRowHeight="15.75"/>
  <cols>
    <col min="1" max="1" width="36.5" customWidth="1"/>
    <col min="5" max="5" width="21.875" customWidth="1"/>
    <col min="6" max="6" width="14.875" customWidth="1"/>
    <col min="7" max="7" width="19.625" customWidth="1"/>
    <col min="8" max="8" width="22.625" customWidth="1"/>
    <col min="9" max="9" width="24.5" customWidth="1"/>
  </cols>
  <sheetData>
    <row r="1" spans="1:18" ht="123" customHeight="1">
      <c r="A1" s="62" t="s">
        <v>42</v>
      </c>
      <c r="B1" s="62"/>
      <c r="C1" s="62"/>
      <c r="D1" s="62"/>
      <c r="E1" s="62"/>
      <c r="F1" s="62"/>
      <c r="G1" s="62"/>
      <c r="H1" s="62"/>
      <c r="I1" s="62"/>
      <c r="J1" s="62"/>
    </row>
    <row r="3" spans="1:18" ht="15.95" customHeight="1">
      <c r="D3" s="12" t="s">
        <v>43</v>
      </c>
      <c r="E3" s="11" t="s">
        <v>44</v>
      </c>
      <c r="F3" s="11" t="s">
        <v>45</v>
      </c>
    </row>
    <row r="4" spans="1:18" ht="48" customHeight="1">
      <c r="D4" s="4" t="s">
        <v>46</v>
      </c>
      <c r="E4" s="4">
        <v>4</v>
      </c>
      <c r="F4" s="4">
        <v>15</v>
      </c>
      <c r="H4" s="5" t="s">
        <v>6</v>
      </c>
      <c r="I4" s="6" t="str">
        <f>F3</f>
        <v>Ventas sabado a domingo</v>
      </c>
      <c r="M4" t="s">
        <v>47</v>
      </c>
    </row>
    <row r="5" spans="1:18" ht="29.1" customHeight="1" thickBot="1">
      <c r="D5" s="4" t="s">
        <v>48</v>
      </c>
      <c r="E5" s="4">
        <v>2</v>
      </c>
      <c r="F5" s="4">
        <v>8</v>
      </c>
      <c r="H5" s="5" t="s">
        <v>8</v>
      </c>
      <c r="I5" s="7" t="str">
        <f>E3</f>
        <v>Números de transmisiones</v>
      </c>
    </row>
    <row r="6" spans="1:18">
      <c r="D6" s="4" t="s">
        <v>49</v>
      </c>
      <c r="E6" s="4">
        <v>5</v>
      </c>
      <c r="F6" s="4">
        <v>21</v>
      </c>
      <c r="M6" s="10" t="s">
        <v>50</v>
      </c>
      <c r="N6" s="10"/>
    </row>
    <row r="7" spans="1:18">
      <c r="D7" s="4" t="s">
        <v>51</v>
      </c>
      <c r="E7" s="4">
        <v>6</v>
      </c>
      <c r="F7" s="4">
        <v>24</v>
      </c>
      <c r="M7" t="s">
        <v>52</v>
      </c>
      <c r="N7">
        <v>0.92951600308978011</v>
      </c>
    </row>
    <row r="8" spans="1:18">
      <c r="D8" s="4" t="s">
        <v>53</v>
      </c>
      <c r="E8" s="4">
        <v>3</v>
      </c>
      <c r="F8" s="4">
        <v>17</v>
      </c>
      <c r="M8" t="s">
        <v>54</v>
      </c>
      <c r="N8">
        <v>0.8640000000000001</v>
      </c>
    </row>
    <row r="9" spans="1:18">
      <c r="M9" t="s">
        <v>55</v>
      </c>
      <c r="N9">
        <v>0.81866666666666676</v>
      </c>
    </row>
    <row r="10" spans="1:18">
      <c r="M10" t="s">
        <v>56</v>
      </c>
      <c r="N10">
        <v>0.67330032922413852</v>
      </c>
    </row>
    <row r="11" spans="1:18" ht="20.65" thickBot="1">
      <c r="A11" s="2" t="s">
        <v>57</v>
      </c>
      <c r="M11" s="8" t="s">
        <v>58</v>
      </c>
      <c r="N11" s="8">
        <v>5</v>
      </c>
    </row>
    <row r="13" spans="1:18" ht="16.149999999999999" thickBot="1">
      <c r="M13" t="s">
        <v>59</v>
      </c>
    </row>
    <row r="14" spans="1:18">
      <c r="M14" s="9"/>
      <c r="N14" s="9" t="s">
        <v>60</v>
      </c>
      <c r="O14" s="9" t="s">
        <v>61</v>
      </c>
      <c r="P14" s="9" t="s">
        <v>62</v>
      </c>
      <c r="Q14" s="9" t="s">
        <v>63</v>
      </c>
      <c r="R14" s="9" t="s">
        <v>64</v>
      </c>
    </row>
    <row r="15" spans="1:18">
      <c r="M15" t="s">
        <v>65</v>
      </c>
      <c r="N15">
        <v>1</v>
      </c>
      <c r="O15">
        <v>8.64</v>
      </c>
      <c r="P15">
        <v>8.64</v>
      </c>
      <c r="Q15">
        <v>19.058823529411768</v>
      </c>
      <c r="R15">
        <v>2.2224088733295535E-2</v>
      </c>
    </row>
    <row r="16" spans="1:18">
      <c r="M16" t="s">
        <v>66</v>
      </c>
      <c r="N16">
        <v>3</v>
      </c>
      <c r="O16">
        <v>1.3599999999999999</v>
      </c>
      <c r="P16">
        <v>0.45333333333333331</v>
      </c>
    </row>
    <row r="17" spans="1:21" ht="16.149999999999999" thickBot="1">
      <c r="M17" s="8" t="s">
        <v>67</v>
      </c>
      <c r="N17" s="8">
        <v>4</v>
      </c>
      <c r="O17" s="8">
        <v>10</v>
      </c>
      <c r="P17" s="8"/>
      <c r="Q17" s="8"/>
      <c r="R17" s="8"/>
    </row>
    <row r="18" spans="1:21" ht="16.149999999999999" thickBot="1"/>
    <row r="19" spans="1:21">
      <c r="M19" s="9"/>
      <c r="N19" s="9" t="s">
        <v>68</v>
      </c>
      <c r="O19" s="9" t="s">
        <v>56</v>
      </c>
      <c r="P19" s="9" t="s">
        <v>69</v>
      </c>
      <c r="Q19" s="9" t="s">
        <v>70</v>
      </c>
      <c r="R19" s="9" t="s">
        <v>71</v>
      </c>
      <c r="S19" s="9" t="s">
        <v>72</v>
      </c>
      <c r="T19" s="9" t="s">
        <v>73</v>
      </c>
      <c r="U19" s="9" t="s">
        <v>74</v>
      </c>
    </row>
    <row r="20" spans="1:21">
      <c r="M20" t="s">
        <v>75</v>
      </c>
      <c r="N20" s="13">
        <v>-8.0000000000000959E-2</v>
      </c>
      <c r="O20">
        <v>0.98188028236078195</v>
      </c>
      <c r="P20">
        <v>-8.1476328058704986E-2</v>
      </c>
      <c r="Q20">
        <v>0.9401945075127196</v>
      </c>
      <c r="R20">
        <v>-3.2047812768299964</v>
      </c>
      <c r="S20">
        <v>3.0447812768299944</v>
      </c>
      <c r="T20">
        <v>-3.2047812768299964</v>
      </c>
      <c r="U20">
        <v>3.0447812768299944</v>
      </c>
    </row>
    <row r="21" spans="1:21" ht="16.149999999999999" thickBot="1">
      <c r="M21" s="8" t="s">
        <v>45</v>
      </c>
      <c r="N21" s="14">
        <v>0.24000000000000007</v>
      </c>
      <c r="O21" s="8">
        <v>5.4974741674902142E-2</v>
      </c>
      <c r="P21" s="8">
        <v>4.3656412506539946</v>
      </c>
      <c r="Q21" s="8">
        <v>2.2224088733295514E-2</v>
      </c>
      <c r="R21" s="8">
        <v>6.5045836472781421E-2</v>
      </c>
      <c r="S21" s="8">
        <v>0.4149541635272187</v>
      </c>
      <c r="T21" s="8">
        <v>6.5045836472781421E-2</v>
      </c>
      <c r="U21" s="8">
        <v>0.4149541635272187</v>
      </c>
    </row>
    <row r="23" spans="1:21">
      <c r="M23" t="s">
        <v>76</v>
      </c>
    </row>
    <row r="25" spans="1:21">
      <c r="M25" t="s">
        <v>77</v>
      </c>
      <c r="R25" t="s">
        <v>78</v>
      </c>
    </row>
    <row r="26" spans="1:21" ht="18" thickBot="1">
      <c r="A26" s="3" t="s">
        <v>79</v>
      </c>
    </row>
    <row r="27" spans="1:21">
      <c r="A27" s="1"/>
      <c r="M27" s="9" t="s">
        <v>80</v>
      </c>
      <c r="N27" s="9" t="s">
        <v>81</v>
      </c>
      <c r="O27" s="9" t="s">
        <v>66</v>
      </c>
      <c r="P27" s="9" t="s">
        <v>82</v>
      </c>
      <c r="R27" s="9" t="s">
        <v>83</v>
      </c>
      <c r="S27" s="9" t="s">
        <v>44</v>
      </c>
    </row>
    <row r="28" spans="1:21" ht="23.25">
      <c r="B28" s="15" t="s">
        <v>84</v>
      </c>
      <c r="M28">
        <v>1</v>
      </c>
      <c r="N28">
        <v>3.52</v>
      </c>
      <c r="O28">
        <v>0.48</v>
      </c>
      <c r="P28">
        <v>0.82319320868404244</v>
      </c>
      <c r="R28">
        <v>10</v>
      </c>
      <c r="S28">
        <v>2</v>
      </c>
    </row>
    <row r="29" spans="1:21">
      <c r="M29">
        <v>2</v>
      </c>
      <c r="N29">
        <v>1.8399999999999996</v>
      </c>
      <c r="O29">
        <v>0.16000000000000036</v>
      </c>
      <c r="P29">
        <v>0.27439773622801478</v>
      </c>
      <c r="R29">
        <v>30</v>
      </c>
      <c r="S29">
        <v>3</v>
      </c>
    </row>
    <row r="30" spans="1:21" ht="17.649999999999999">
      <c r="A30" s="3" t="s">
        <v>85</v>
      </c>
      <c r="M30">
        <v>3</v>
      </c>
      <c r="N30">
        <v>4.9600000000000009</v>
      </c>
      <c r="O30">
        <v>3.9999999999999147E-2</v>
      </c>
      <c r="P30">
        <v>6.8599434057002084E-2</v>
      </c>
      <c r="R30">
        <v>50</v>
      </c>
      <c r="S30">
        <v>4</v>
      </c>
    </row>
    <row r="31" spans="1:21">
      <c r="A31" t="s">
        <v>52</v>
      </c>
      <c r="B31">
        <v>0.92951600308978011</v>
      </c>
      <c r="C31" t="s">
        <v>86</v>
      </c>
      <c r="M31">
        <v>4</v>
      </c>
      <c r="N31">
        <v>5.6800000000000006</v>
      </c>
      <c r="O31">
        <v>0.3199999999999994</v>
      </c>
      <c r="P31">
        <v>0.54879547245602733</v>
      </c>
      <c r="R31">
        <v>70</v>
      </c>
      <c r="S31">
        <v>5</v>
      </c>
    </row>
    <row r="32" spans="1:21" ht="16.149999999999999" thickBot="1">
      <c r="A32" t="s">
        <v>54</v>
      </c>
      <c r="B32">
        <v>0.8640000000000001</v>
      </c>
      <c r="C32" t="s">
        <v>87</v>
      </c>
      <c r="M32" s="8">
        <v>5</v>
      </c>
      <c r="N32" s="8">
        <v>4</v>
      </c>
      <c r="O32" s="8">
        <v>-1</v>
      </c>
      <c r="P32" s="8">
        <v>-1.7149858514250886</v>
      </c>
      <c r="R32" s="8">
        <v>90</v>
      </c>
      <c r="S32" s="8">
        <v>6</v>
      </c>
    </row>
    <row r="33" spans="1:9"/>
    <row r="38" spans="1:9" ht="17.649999999999999">
      <c r="A38" s="3" t="s">
        <v>31</v>
      </c>
    </row>
    <row r="40" spans="1:9" ht="16.149999999999999" thickBot="1"/>
    <row r="41" spans="1:9">
      <c r="E41" s="9" t="s">
        <v>83</v>
      </c>
      <c r="F41" s="9" t="s">
        <v>44</v>
      </c>
      <c r="H41" s="62" t="s">
        <v>88</v>
      </c>
      <c r="I41" s="62"/>
    </row>
    <row r="42" spans="1:9">
      <c r="E42">
        <v>10</v>
      </c>
      <c r="F42">
        <v>2</v>
      </c>
      <c r="H42" s="62"/>
      <c r="I42" s="62"/>
    </row>
    <row r="43" spans="1:9">
      <c r="E43">
        <v>30</v>
      </c>
      <c r="F43">
        <v>3</v>
      </c>
      <c r="H43" s="62"/>
      <c r="I43" s="62"/>
    </row>
    <row r="44" spans="1:9">
      <c r="E44">
        <v>50</v>
      </c>
      <c r="F44">
        <v>4</v>
      </c>
      <c r="H44" s="62"/>
      <c r="I44" s="62"/>
    </row>
    <row r="45" spans="1:9">
      <c r="E45">
        <v>70</v>
      </c>
      <c r="F45">
        <v>5</v>
      </c>
      <c r="H45" s="62"/>
      <c r="I45" s="62"/>
    </row>
    <row r="46" spans="1:9" ht="16.149999999999999" thickBot="1">
      <c r="E46" s="8">
        <v>90</v>
      </c>
      <c r="F46" s="8">
        <v>6</v>
      </c>
    </row>
    <row r="53" spans="1:2" ht="17.649999999999999">
      <c r="A53" s="3" t="s">
        <v>89</v>
      </c>
    </row>
    <row r="55" spans="1:2">
      <c r="A55" t="s">
        <v>84</v>
      </c>
    </row>
    <row r="56" spans="1:2">
      <c r="A56" t="s">
        <v>90</v>
      </c>
    </row>
    <row r="57" spans="1:2">
      <c r="A57">
        <f>(8--0.08)/0.24</f>
        <v>33.666666666666671</v>
      </c>
      <c r="B57" t="s">
        <v>91</v>
      </c>
    </row>
  </sheetData>
  <sortState xmlns:xlrd2="http://schemas.microsoft.com/office/spreadsheetml/2017/richdata2" ref="S28:S32">
    <sortCondition ref="S28"/>
  </sortState>
  <mergeCells count="2">
    <mergeCell ref="A1:J1"/>
    <mergeCell ref="H41:I45"/>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6E35-49AF-EF40-9E13-B606E06A8427}">
  <dimension ref="A1:G59"/>
  <sheetViews>
    <sheetView topLeftCell="A47" workbookViewId="0">
      <selection activeCell="K14" sqref="K14"/>
    </sheetView>
  </sheetViews>
  <sheetFormatPr defaultColWidth="11" defaultRowHeight="15.75"/>
  <cols>
    <col min="2" max="2" width="10.875" bestFit="1" customWidth="1"/>
  </cols>
  <sheetData>
    <row r="1" spans="1:7" ht="117.75" customHeight="1">
      <c r="A1" s="63" t="s">
        <v>92</v>
      </c>
      <c r="B1" s="63"/>
      <c r="C1" s="63"/>
      <c r="D1" s="63"/>
      <c r="E1" s="63"/>
      <c r="F1" s="63"/>
      <c r="G1" s="63"/>
    </row>
    <row r="2" spans="1:7" ht="16.149999999999999" thickBot="1">
      <c r="A2" s="26"/>
      <c r="B2" s="26"/>
      <c r="C2" s="26"/>
      <c r="D2" s="26"/>
      <c r="E2" s="26"/>
      <c r="F2" s="26"/>
      <c r="G2" s="26"/>
    </row>
    <row r="3" spans="1:7" ht="43.15" thickBot="1">
      <c r="B3" s="22" t="s">
        <v>93</v>
      </c>
      <c r="C3" s="23" t="s">
        <v>94</v>
      </c>
    </row>
    <row r="4" spans="1:7" ht="16.149999999999999" thickBot="1">
      <c r="B4" s="24">
        <v>2</v>
      </c>
      <c r="C4" s="25">
        <v>15</v>
      </c>
    </row>
    <row r="5" spans="1:7" ht="16.149999999999999" thickBot="1">
      <c r="B5" s="24">
        <v>4</v>
      </c>
      <c r="C5" s="25">
        <v>25</v>
      </c>
    </row>
    <row r="6" spans="1:7" ht="16.149999999999999" thickBot="1">
      <c r="B6" s="24">
        <v>1</v>
      </c>
      <c r="C6" s="25">
        <v>10</v>
      </c>
    </row>
    <row r="7" spans="1:7" ht="16.149999999999999" thickBot="1">
      <c r="B7" s="24">
        <v>5</v>
      </c>
      <c r="C7" s="25">
        <v>40</v>
      </c>
    </row>
    <row r="8" spans="1:7" ht="16.149999999999999" thickBot="1">
      <c r="B8" s="24">
        <v>3</v>
      </c>
      <c r="C8" s="25">
        <v>30</v>
      </c>
    </row>
    <row r="11" spans="1:7">
      <c r="B11" t="s">
        <v>95</v>
      </c>
    </row>
    <row r="29" spans="2:3">
      <c r="B29" t="s">
        <v>96</v>
      </c>
    </row>
    <row r="31" spans="2:3">
      <c r="B31" t="s">
        <v>97</v>
      </c>
      <c r="C31" t="s">
        <v>98</v>
      </c>
    </row>
    <row r="33" spans="2:7">
      <c r="B33" t="s">
        <v>99</v>
      </c>
      <c r="E33" t="s">
        <v>100</v>
      </c>
      <c r="F33" t="s">
        <v>101</v>
      </c>
      <c r="G33" t="s">
        <v>102</v>
      </c>
    </row>
    <row r="34" spans="2:7">
      <c r="G34" t="s">
        <v>103</v>
      </c>
    </row>
    <row r="36" spans="2:7" ht="17.649999999999999" customHeight="1">
      <c r="B36" t="s">
        <v>104</v>
      </c>
    </row>
    <row r="37" spans="2:7" ht="17.649999999999999" customHeight="1"/>
    <row r="38" spans="2:7" ht="17.649999999999999" customHeight="1">
      <c r="C38" t="s">
        <v>105</v>
      </c>
    </row>
    <row r="39" spans="2:7" ht="17.649999999999999" customHeight="1">
      <c r="C39" t="s">
        <v>106</v>
      </c>
    </row>
    <row r="40" spans="2:7" ht="17.649999999999999" customHeight="1"/>
    <row r="41" spans="2:7" ht="16.149999999999999" customHeight="1">
      <c r="B41" t="s">
        <v>31</v>
      </c>
    </row>
    <row r="42" spans="2:7" ht="16.149999999999999" customHeight="1"/>
    <row r="43" spans="2:7" ht="16.149999999999999" customHeight="1"/>
    <row r="44" spans="2:7" ht="16.149999999999999" customHeight="1">
      <c r="C44" t="s">
        <v>107</v>
      </c>
    </row>
    <row r="45" spans="2:7" ht="16.149999999999999" customHeight="1">
      <c r="C45" t="s">
        <v>108</v>
      </c>
    </row>
    <row r="46" spans="2:7" ht="16.149999999999999" customHeight="1"/>
    <row r="47" spans="2:7" ht="16.149999999999999" customHeight="1">
      <c r="C47" t="s">
        <v>109</v>
      </c>
    </row>
    <row r="48" spans="2:7" ht="16.149999999999999" customHeight="1"/>
    <row r="49" spans="2:3" ht="16.149999999999999" customHeight="1">
      <c r="C49" t="s">
        <v>110</v>
      </c>
    </row>
    <row r="50" spans="2:3" ht="16.149999999999999" customHeight="1"/>
    <row r="51" spans="2:3">
      <c r="B51" t="s">
        <v>111</v>
      </c>
    </row>
    <row r="53" spans="2:3">
      <c r="B53" s="27"/>
      <c r="C53" t="s">
        <v>100</v>
      </c>
    </row>
    <row r="54" spans="2:3">
      <c r="B54" s="27"/>
    </row>
    <row r="55" spans="2:3">
      <c r="C55" t="s">
        <v>112</v>
      </c>
    </row>
    <row r="57" spans="2:3">
      <c r="C57" t="s">
        <v>113</v>
      </c>
    </row>
    <row r="59" spans="2:3">
      <c r="C59" t="s">
        <v>114</v>
      </c>
    </row>
  </sheetData>
  <mergeCells count="1">
    <mergeCell ref="A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7083F-B46F-9D4A-9A9A-9FB89C2C9E1E}">
  <dimension ref="B2:J72"/>
  <sheetViews>
    <sheetView tabSelected="1" workbookViewId="0">
      <selection activeCell="H53" sqref="H53"/>
    </sheetView>
  </sheetViews>
  <sheetFormatPr defaultColWidth="11" defaultRowHeight="15.75"/>
  <cols>
    <col min="11" max="11" width="23.75" customWidth="1"/>
  </cols>
  <sheetData>
    <row r="2" spans="2:7" ht="17.649999999999999">
      <c r="B2" s="16" t="s">
        <v>115</v>
      </c>
    </row>
    <row r="3" spans="2:7" ht="17.649999999999999">
      <c r="B3" s="17" t="s">
        <v>116</v>
      </c>
    </row>
    <row r="4" spans="2:7" ht="17.649999999999999">
      <c r="B4" s="17" t="s">
        <v>117</v>
      </c>
    </row>
    <row r="5" spans="2:7" ht="17.649999999999999">
      <c r="B5" s="17" t="s">
        <v>118</v>
      </c>
    </row>
    <row r="7" spans="2:7">
      <c r="F7" s="18" t="s">
        <v>119</v>
      </c>
      <c r="G7" s="18" t="s">
        <v>120</v>
      </c>
    </row>
    <row r="8" spans="2:7">
      <c r="F8" s="18">
        <v>50</v>
      </c>
      <c r="G8" s="18">
        <v>55</v>
      </c>
    </row>
    <row r="9" spans="2:7">
      <c r="F9" s="18">
        <v>55</v>
      </c>
      <c r="G9" s="18">
        <v>50</v>
      </c>
    </row>
    <row r="10" spans="2:7">
      <c r="F10" s="18">
        <v>60</v>
      </c>
      <c r="G10" s="18">
        <v>65</v>
      </c>
    </row>
    <row r="11" spans="2:7">
      <c r="F11" s="18">
        <v>65</v>
      </c>
      <c r="G11" s="18">
        <v>75</v>
      </c>
    </row>
    <row r="12" spans="2:7">
      <c r="F12" s="18">
        <v>70</v>
      </c>
      <c r="G12" s="18">
        <v>75</v>
      </c>
    </row>
    <row r="13" spans="2:7">
      <c r="F13" s="18">
        <v>75</v>
      </c>
      <c r="G13" s="18">
        <v>60</v>
      </c>
    </row>
    <row r="14" spans="2:7">
      <c r="F14" s="18">
        <v>90</v>
      </c>
      <c r="G14" s="18">
        <v>95</v>
      </c>
    </row>
    <row r="15" spans="2:7">
      <c r="F15" s="18">
        <v>45</v>
      </c>
      <c r="G15" s="18">
        <v>40</v>
      </c>
    </row>
    <row r="16" spans="2:7">
      <c r="F16" s="18">
        <v>80</v>
      </c>
      <c r="G16" s="18">
        <v>90</v>
      </c>
    </row>
    <row r="17" spans="3:7">
      <c r="F17" s="18">
        <v>75</v>
      </c>
      <c r="G17" s="18">
        <v>80</v>
      </c>
    </row>
    <row r="18" spans="3:7">
      <c r="F18" s="18">
        <v>85</v>
      </c>
      <c r="G18" s="18">
        <v>80</v>
      </c>
    </row>
    <row r="19" spans="3:7">
      <c r="F19" s="18">
        <v>45</v>
      </c>
      <c r="G19" s="18">
        <v>50</v>
      </c>
    </row>
    <row r="22" spans="3:7">
      <c r="C22" t="s">
        <v>121</v>
      </c>
    </row>
    <row r="39" spans="3:3">
      <c r="C39" s="19" t="s">
        <v>122</v>
      </c>
    </row>
    <row r="40" spans="3:3">
      <c r="C40" s="19" t="s">
        <v>123</v>
      </c>
    </row>
    <row r="41" spans="3:3">
      <c r="C41" s="49" t="s">
        <v>124</v>
      </c>
    </row>
    <row r="42" spans="3:3">
      <c r="C42" s="19" t="s">
        <v>31</v>
      </c>
    </row>
    <row r="43" spans="3:3">
      <c r="C43" s="21" t="s">
        <v>125</v>
      </c>
    </row>
    <row r="49" spans="10:10">
      <c r="J49" s="19"/>
    </row>
    <row r="72" spans="4:6" ht="15.95" customHeight="1">
      <c r="D72" s="20"/>
      <c r="E72" s="20"/>
      <c r="F72" s="2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DFD7C-09E6-BB4D-8555-36EF4FB13FD9}">
  <dimension ref="A1:S70"/>
  <sheetViews>
    <sheetView topLeftCell="A52" workbookViewId="0">
      <selection activeCell="H12" sqref="H12"/>
    </sheetView>
  </sheetViews>
  <sheetFormatPr defaultColWidth="11" defaultRowHeight="15.75"/>
  <cols>
    <col min="1" max="2" width="17.75" customWidth="1"/>
    <col min="9" max="9" width="16.875" customWidth="1"/>
  </cols>
  <sheetData>
    <row r="1" spans="1:19" ht="32.25" customHeight="1">
      <c r="A1" s="64" t="s">
        <v>126</v>
      </c>
      <c r="B1" s="64"/>
      <c r="C1" s="64"/>
      <c r="D1" s="64"/>
      <c r="E1" s="64"/>
      <c r="F1" s="64"/>
      <c r="G1" s="50"/>
      <c r="H1" s="50"/>
      <c r="I1" s="50"/>
      <c r="J1" s="50"/>
      <c r="K1" s="50"/>
      <c r="L1" s="50"/>
      <c r="M1" s="50"/>
      <c r="N1" s="50"/>
      <c r="O1" s="50"/>
      <c r="P1" s="50"/>
      <c r="Q1" s="50"/>
      <c r="R1" s="50"/>
      <c r="S1" s="50"/>
    </row>
    <row r="2" spans="1:19">
      <c r="A2" s="64" t="s">
        <v>127</v>
      </c>
      <c r="B2" s="64"/>
      <c r="C2" s="64"/>
      <c r="D2" s="64"/>
      <c r="E2" s="64"/>
      <c r="F2" s="64"/>
      <c r="G2" s="50"/>
      <c r="H2" s="50"/>
      <c r="I2" s="50"/>
      <c r="J2" s="50"/>
      <c r="K2" s="50"/>
      <c r="L2" s="50"/>
      <c r="M2" s="50"/>
      <c r="N2" s="50"/>
      <c r="O2" s="50"/>
      <c r="P2" s="50"/>
      <c r="Q2" s="50"/>
      <c r="R2" s="50"/>
      <c r="S2" s="50"/>
    </row>
    <row r="3" spans="1:19">
      <c r="A3" s="51"/>
      <c r="B3" s="51"/>
      <c r="C3" s="51"/>
      <c r="D3" s="51"/>
      <c r="E3" s="51"/>
      <c r="F3" s="51"/>
      <c r="G3" s="50"/>
      <c r="H3" s="50"/>
      <c r="I3" s="50"/>
      <c r="J3" s="50"/>
      <c r="K3" s="50"/>
      <c r="L3" s="50"/>
      <c r="M3" s="50"/>
      <c r="N3" s="50"/>
      <c r="O3" s="50"/>
      <c r="P3" s="50"/>
      <c r="Q3" s="50"/>
      <c r="R3" s="50"/>
      <c r="S3" s="50"/>
    </row>
    <row r="4" spans="1:19" ht="47.25">
      <c r="A4" s="52" t="s">
        <v>128</v>
      </c>
      <c r="B4" s="53" t="s">
        <v>129</v>
      </c>
      <c r="C4" s="51"/>
      <c r="D4" s="51"/>
      <c r="E4" s="51"/>
      <c r="F4" s="51"/>
      <c r="G4" s="50"/>
      <c r="H4" s="50"/>
      <c r="I4" s="50"/>
      <c r="J4" s="50"/>
      <c r="K4" s="50"/>
      <c r="L4" s="50"/>
      <c r="M4" s="50"/>
      <c r="N4" s="50"/>
      <c r="O4" s="50"/>
      <c r="P4" s="50"/>
      <c r="Q4" s="50"/>
      <c r="R4" s="50"/>
      <c r="S4" s="50"/>
    </row>
    <row r="5" spans="1:19" ht="23.25">
      <c r="A5" s="32">
        <v>1</v>
      </c>
      <c r="B5" s="33">
        <v>80</v>
      </c>
      <c r="C5" s="51"/>
      <c r="D5" s="51"/>
      <c r="E5" s="51"/>
      <c r="F5" s="51"/>
      <c r="G5" s="50"/>
      <c r="H5" s="50"/>
      <c r="I5" s="50"/>
      <c r="J5" s="50"/>
      <c r="K5" s="50"/>
      <c r="L5" s="50"/>
      <c r="M5" s="50"/>
      <c r="N5" s="50"/>
      <c r="O5" s="50"/>
      <c r="P5" s="50"/>
      <c r="Q5" s="50"/>
      <c r="R5" s="50"/>
      <c r="S5" s="50"/>
    </row>
    <row r="6" spans="1:19" ht="23.25">
      <c r="A6" s="32">
        <v>3</v>
      </c>
      <c r="B6" s="33">
        <v>97</v>
      </c>
      <c r="C6" s="51"/>
      <c r="D6" s="51"/>
      <c r="E6" s="51"/>
      <c r="F6" s="51"/>
      <c r="G6" s="50"/>
      <c r="H6" s="50"/>
      <c r="I6" s="50"/>
      <c r="J6" s="50"/>
      <c r="K6" s="50"/>
      <c r="L6" s="50"/>
      <c r="M6" s="50"/>
      <c r="N6" s="50"/>
      <c r="O6" s="50"/>
      <c r="P6" s="50"/>
      <c r="Q6" s="50"/>
      <c r="R6" s="50"/>
      <c r="S6" s="50"/>
    </row>
    <row r="7" spans="1:19" ht="23.25">
      <c r="A7" s="32">
        <v>4</v>
      </c>
      <c r="B7" s="33">
        <v>92</v>
      </c>
      <c r="C7" s="51"/>
      <c r="D7" s="51"/>
      <c r="E7" s="51"/>
      <c r="F7" s="51"/>
      <c r="G7" s="50"/>
      <c r="H7" s="50"/>
      <c r="I7" s="50"/>
      <c r="J7" s="50"/>
      <c r="K7" s="50"/>
      <c r="L7" s="50"/>
      <c r="M7" s="50"/>
      <c r="N7" s="50"/>
      <c r="O7" s="50"/>
      <c r="P7" s="50"/>
      <c r="Q7" s="50"/>
      <c r="R7" s="50"/>
      <c r="S7" s="50"/>
    </row>
    <row r="8" spans="1:19" ht="23.25">
      <c r="A8" s="32">
        <v>4</v>
      </c>
      <c r="B8" s="33">
        <v>102</v>
      </c>
      <c r="C8" s="51"/>
      <c r="D8" s="51"/>
      <c r="E8" s="51"/>
      <c r="F8" s="51"/>
      <c r="G8" s="50"/>
      <c r="H8" s="50"/>
      <c r="I8" s="50"/>
      <c r="J8" s="50"/>
      <c r="K8" s="50"/>
      <c r="L8" s="50"/>
      <c r="M8" s="50"/>
      <c r="N8" s="50"/>
      <c r="O8" s="50"/>
      <c r="P8" s="50"/>
      <c r="Q8" s="50"/>
      <c r="R8" s="50"/>
      <c r="S8" s="50"/>
    </row>
    <row r="9" spans="1:19" ht="23.25">
      <c r="A9" s="32">
        <v>6</v>
      </c>
      <c r="B9" s="33">
        <v>103</v>
      </c>
      <c r="C9" s="51"/>
      <c r="D9" s="51"/>
      <c r="E9" s="51"/>
      <c r="F9" s="51"/>
      <c r="G9" s="50"/>
      <c r="H9" s="50"/>
      <c r="I9" s="50"/>
      <c r="J9" s="50"/>
      <c r="K9" s="50"/>
      <c r="L9" s="50"/>
      <c r="M9" s="50"/>
      <c r="N9" s="50"/>
      <c r="O9" s="50"/>
      <c r="P9" s="50"/>
      <c r="Q9" s="50"/>
      <c r="R9" s="50"/>
      <c r="S9" s="50"/>
    </row>
    <row r="10" spans="1:19" ht="23.25">
      <c r="A10" s="32">
        <v>8</v>
      </c>
      <c r="B10" s="33">
        <v>111</v>
      </c>
      <c r="C10" s="51"/>
      <c r="D10" s="51"/>
      <c r="E10" s="51"/>
      <c r="F10" s="51"/>
      <c r="G10" s="50"/>
      <c r="H10" s="50"/>
      <c r="I10" s="50"/>
      <c r="J10" s="50"/>
      <c r="K10" s="50"/>
      <c r="L10" s="50"/>
      <c r="M10" s="50"/>
      <c r="N10" s="50"/>
      <c r="O10" s="50"/>
      <c r="P10" s="50"/>
      <c r="Q10" s="50"/>
      <c r="R10" s="50"/>
      <c r="S10" s="50"/>
    </row>
    <row r="11" spans="1:19" ht="23.25">
      <c r="A11" s="32">
        <v>10</v>
      </c>
      <c r="B11" s="33">
        <v>119</v>
      </c>
      <c r="C11" s="51"/>
      <c r="D11" s="51"/>
      <c r="E11" s="51"/>
      <c r="F11" s="51"/>
      <c r="G11" s="50"/>
      <c r="H11" s="50"/>
      <c r="I11" s="50"/>
      <c r="J11" s="50"/>
      <c r="K11" s="50" t="s">
        <v>130</v>
      </c>
      <c r="L11" s="50"/>
      <c r="M11" s="50"/>
      <c r="N11" s="50"/>
      <c r="O11" s="50"/>
      <c r="P11" s="50"/>
      <c r="Q11" s="50"/>
      <c r="R11" s="50"/>
      <c r="S11" s="50"/>
    </row>
    <row r="12" spans="1:19" ht="23.25">
      <c r="A12" s="32">
        <v>10</v>
      </c>
      <c r="B12" s="33">
        <v>123</v>
      </c>
      <c r="C12" s="51"/>
      <c r="D12" s="51"/>
      <c r="E12" s="51"/>
      <c r="F12" s="51"/>
      <c r="G12" s="50"/>
      <c r="H12" s="50"/>
      <c r="I12" s="50"/>
      <c r="J12" s="50"/>
      <c r="K12" s="50"/>
      <c r="L12" s="50"/>
      <c r="M12" s="50"/>
      <c r="N12" s="50"/>
      <c r="O12" s="50"/>
      <c r="P12" s="50"/>
      <c r="Q12" s="50"/>
      <c r="R12" s="50"/>
      <c r="S12" s="50"/>
    </row>
    <row r="13" spans="1:19" ht="23.25">
      <c r="A13" s="32">
        <v>11</v>
      </c>
      <c r="B13" s="33">
        <v>117</v>
      </c>
      <c r="C13" s="51"/>
      <c r="D13" s="51"/>
      <c r="E13" s="51"/>
      <c r="F13" s="51"/>
      <c r="G13" s="50"/>
      <c r="H13" s="50"/>
      <c r="I13" s="50"/>
      <c r="J13" s="50"/>
      <c r="K13" s="54" t="s">
        <v>12</v>
      </c>
      <c r="L13" s="55"/>
      <c r="M13" s="50"/>
      <c r="N13" s="50"/>
      <c r="O13" s="50"/>
      <c r="P13" s="50"/>
      <c r="Q13" s="50"/>
      <c r="R13" s="50"/>
      <c r="S13" s="50"/>
    </row>
    <row r="14" spans="1:19" ht="23.25">
      <c r="A14" s="32">
        <v>13</v>
      </c>
      <c r="B14" s="33">
        <v>136</v>
      </c>
      <c r="C14" s="51"/>
      <c r="D14" s="51"/>
      <c r="E14" s="51"/>
      <c r="F14" s="51"/>
      <c r="G14" s="50"/>
      <c r="H14" s="50"/>
      <c r="I14" s="50"/>
      <c r="J14" s="50"/>
      <c r="K14" s="50" t="s">
        <v>13</v>
      </c>
      <c r="L14" s="50">
        <v>0.96456500000000001</v>
      </c>
      <c r="M14" s="50"/>
      <c r="N14" s="50"/>
      <c r="O14" s="50"/>
      <c r="P14" s="50"/>
      <c r="Q14" s="50"/>
      <c r="R14" s="50"/>
      <c r="S14" s="50"/>
    </row>
    <row r="15" spans="1:19">
      <c r="A15" s="51"/>
      <c r="B15" s="51"/>
      <c r="C15" s="51"/>
      <c r="D15" s="51"/>
      <c r="E15" s="51"/>
      <c r="F15" s="51"/>
      <c r="G15" s="50"/>
      <c r="H15" s="50"/>
      <c r="I15" s="50"/>
      <c r="J15" s="50"/>
      <c r="K15" s="50" t="s">
        <v>14</v>
      </c>
      <c r="L15" s="50">
        <v>0.93038500000000002</v>
      </c>
      <c r="M15" s="50"/>
      <c r="N15" s="50"/>
      <c r="O15" s="50"/>
      <c r="P15" s="50"/>
      <c r="Q15" s="50"/>
      <c r="R15" s="50"/>
      <c r="S15" s="50"/>
    </row>
    <row r="16" spans="1:19">
      <c r="A16" s="51"/>
      <c r="B16" s="51"/>
      <c r="C16" s="51"/>
      <c r="D16" s="51"/>
      <c r="E16" s="51"/>
      <c r="F16" s="51"/>
      <c r="G16" s="50"/>
      <c r="H16" s="50"/>
      <c r="I16" s="50"/>
      <c r="J16" s="50"/>
      <c r="K16" s="50" t="s">
        <v>16</v>
      </c>
      <c r="L16" s="50">
        <v>0.92168300000000003</v>
      </c>
      <c r="M16" s="50"/>
      <c r="N16" s="50"/>
      <c r="O16" s="50"/>
      <c r="P16" s="50"/>
      <c r="Q16" s="50"/>
      <c r="R16" s="50"/>
      <c r="S16" s="50"/>
    </row>
    <row r="17" spans="1:19" ht="18.75">
      <c r="A17" s="56" t="s">
        <v>57</v>
      </c>
      <c r="B17" s="56"/>
      <c r="C17" s="56"/>
      <c r="D17" s="56"/>
      <c r="E17" s="56"/>
      <c r="F17" s="51"/>
      <c r="G17" s="50"/>
      <c r="H17" s="50"/>
      <c r="I17" s="50"/>
      <c r="J17" s="50"/>
      <c r="K17" s="50" t="s">
        <v>17</v>
      </c>
      <c r="L17" s="50">
        <v>4.6097720000000004</v>
      </c>
      <c r="M17" s="50"/>
      <c r="N17" s="50"/>
      <c r="O17" s="50"/>
      <c r="P17" s="50"/>
      <c r="Q17" s="50"/>
      <c r="R17" s="50"/>
      <c r="S17" s="50"/>
    </row>
    <row r="18" spans="1:19">
      <c r="A18" s="50"/>
      <c r="B18" s="51"/>
      <c r="C18" s="51"/>
      <c r="D18" s="51"/>
      <c r="E18" s="51"/>
      <c r="F18" s="51"/>
      <c r="G18" s="50"/>
      <c r="H18" s="50"/>
      <c r="I18" s="50"/>
      <c r="J18" s="50"/>
      <c r="K18" s="57" t="s">
        <v>18</v>
      </c>
      <c r="L18" s="57">
        <v>10</v>
      </c>
      <c r="M18" s="50"/>
      <c r="N18" s="50"/>
      <c r="O18" s="50"/>
      <c r="P18" s="50"/>
      <c r="Q18" s="50"/>
      <c r="R18" s="50"/>
      <c r="S18" s="50"/>
    </row>
    <row r="19" spans="1:19">
      <c r="A19" s="51"/>
      <c r="B19" s="51"/>
      <c r="C19" s="51"/>
      <c r="D19" s="51"/>
      <c r="E19" s="51"/>
      <c r="F19" s="51"/>
      <c r="G19" s="50"/>
      <c r="H19" s="50"/>
      <c r="I19" s="50"/>
      <c r="J19" s="50"/>
      <c r="K19" s="50"/>
      <c r="L19" s="50"/>
      <c r="M19" s="50"/>
      <c r="N19" s="50"/>
      <c r="O19" s="50"/>
      <c r="P19" s="50"/>
      <c r="Q19" s="50"/>
      <c r="R19" s="50"/>
      <c r="S19" s="50"/>
    </row>
    <row r="20" spans="1:19">
      <c r="A20" s="51"/>
      <c r="B20" s="51"/>
      <c r="C20" s="51"/>
      <c r="D20" s="51"/>
      <c r="E20" s="51"/>
      <c r="F20" s="51"/>
      <c r="G20" s="50"/>
      <c r="H20" s="50"/>
      <c r="I20" s="50"/>
      <c r="J20" s="50"/>
      <c r="K20" s="50" t="s">
        <v>131</v>
      </c>
      <c r="L20" s="50"/>
      <c r="M20" s="50"/>
      <c r="N20" s="50"/>
      <c r="O20" s="50"/>
      <c r="P20" s="50"/>
      <c r="Q20" s="50"/>
      <c r="R20" s="50"/>
      <c r="S20" s="50"/>
    </row>
    <row r="21" spans="1:19">
      <c r="A21" s="51"/>
      <c r="B21" s="51"/>
      <c r="C21" s="51"/>
      <c r="D21" s="51"/>
      <c r="E21" s="51"/>
      <c r="F21" s="51"/>
      <c r="G21" s="50"/>
      <c r="H21" s="50"/>
      <c r="I21" s="50"/>
      <c r="J21" s="50"/>
      <c r="K21" s="54" t="s">
        <v>20</v>
      </c>
      <c r="L21" s="54" t="s">
        <v>132</v>
      </c>
      <c r="M21" s="54" t="s">
        <v>133</v>
      </c>
      <c r="N21" s="54" t="s">
        <v>134</v>
      </c>
      <c r="O21" s="54" t="s">
        <v>63</v>
      </c>
      <c r="P21" s="54" t="s">
        <v>135</v>
      </c>
      <c r="Q21" s="50"/>
      <c r="R21" s="50"/>
      <c r="S21" s="50"/>
    </row>
    <row r="22" spans="1:19">
      <c r="A22" s="51"/>
      <c r="B22" s="51"/>
      <c r="C22" s="51"/>
      <c r="D22" s="51"/>
      <c r="E22" s="51"/>
      <c r="F22" s="51"/>
      <c r="G22" s="50"/>
      <c r="H22" s="50"/>
      <c r="I22" s="50"/>
      <c r="J22" s="50"/>
      <c r="K22" s="50" t="s">
        <v>136</v>
      </c>
      <c r="L22" s="50">
        <v>1</v>
      </c>
      <c r="M22" s="50">
        <v>2272</v>
      </c>
      <c r="N22" s="50">
        <v>2272</v>
      </c>
      <c r="O22" s="50">
        <v>106.91759999999999</v>
      </c>
      <c r="P22" s="58">
        <v>6.6100000000000002E-6</v>
      </c>
      <c r="Q22" s="50"/>
      <c r="R22" s="50"/>
      <c r="S22" s="50"/>
    </row>
    <row r="23" spans="1:19">
      <c r="A23" s="51"/>
      <c r="B23" s="51"/>
      <c r="C23" s="51"/>
      <c r="D23" s="51"/>
      <c r="E23" s="51"/>
      <c r="F23" s="51"/>
      <c r="G23" s="50"/>
      <c r="H23" s="50"/>
      <c r="I23" s="50"/>
      <c r="J23" s="50"/>
      <c r="K23" s="50" t="s">
        <v>137</v>
      </c>
      <c r="L23" s="50">
        <v>8</v>
      </c>
      <c r="M23" s="50">
        <v>170</v>
      </c>
      <c r="N23" s="50">
        <v>21.25</v>
      </c>
      <c r="O23" s="50"/>
      <c r="P23" s="50"/>
      <c r="Q23" s="50"/>
      <c r="R23" s="50"/>
      <c r="S23" s="50"/>
    </row>
    <row r="24" spans="1:19">
      <c r="A24" s="51"/>
      <c r="B24" s="51"/>
      <c r="C24" s="51"/>
      <c r="D24" s="51"/>
      <c r="E24" s="51"/>
      <c r="F24" s="51"/>
      <c r="G24" s="50"/>
      <c r="H24" s="50"/>
      <c r="I24" s="50"/>
      <c r="J24" s="50"/>
      <c r="K24" s="57" t="s">
        <v>67</v>
      </c>
      <c r="L24" s="57">
        <v>9</v>
      </c>
      <c r="M24" s="57">
        <v>2442</v>
      </c>
      <c r="N24" s="57" t="s">
        <v>20</v>
      </c>
      <c r="O24" s="57" t="s">
        <v>20</v>
      </c>
      <c r="P24" s="57" t="s">
        <v>20</v>
      </c>
      <c r="Q24" s="50"/>
      <c r="R24" s="50"/>
      <c r="S24" s="50"/>
    </row>
    <row r="25" spans="1:19">
      <c r="A25" s="51"/>
      <c r="B25" s="51"/>
      <c r="C25" s="51"/>
      <c r="D25" s="51"/>
      <c r="E25" s="51"/>
      <c r="F25" s="51"/>
      <c r="G25" s="50"/>
      <c r="H25" s="50"/>
      <c r="I25" s="50"/>
      <c r="J25" s="50"/>
      <c r="K25" s="50"/>
      <c r="L25" s="50"/>
      <c r="M25" s="50"/>
      <c r="N25" s="50"/>
      <c r="O25" s="50"/>
      <c r="P25" s="50"/>
      <c r="Q25" s="50"/>
      <c r="R25" s="50"/>
      <c r="S25" s="50"/>
    </row>
    <row r="26" spans="1:19">
      <c r="A26" s="51"/>
      <c r="B26" s="51"/>
      <c r="C26" s="51"/>
      <c r="D26" s="51"/>
      <c r="E26" s="51"/>
      <c r="F26" s="51"/>
      <c r="G26" s="50"/>
      <c r="H26" s="50"/>
      <c r="I26" s="50"/>
      <c r="J26" s="50"/>
      <c r="K26" s="54" t="s">
        <v>20</v>
      </c>
      <c r="L26" s="54" t="s">
        <v>21</v>
      </c>
      <c r="M26" s="54" t="s">
        <v>17</v>
      </c>
      <c r="N26" s="54" t="s">
        <v>22</v>
      </c>
      <c r="O26" s="54" t="s">
        <v>23</v>
      </c>
      <c r="P26" s="54" t="s">
        <v>24</v>
      </c>
      <c r="Q26" s="54" t="s">
        <v>25</v>
      </c>
      <c r="R26" s="54" t="s">
        <v>26</v>
      </c>
      <c r="S26" s="54" t="s">
        <v>27</v>
      </c>
    </row>
    <row r="27" spans="1:19">
      <c r="A27" s="51"/>
      <c r="B27" s="51"/>
      <c r="C27" s="51"/>
      <c r="D27" s="51"/>
      <c r="E27" s="51"/>
      <c r="F27" s="51"/>
      <c r="G27" s="50"/>
      <c r="H27" s="50"/>
      <c r="I27" s="50"/>
      <c r="J27" s="50"/>
      <c r="K27" s="50" t="s">
        <v>28</v>
      </c>
      <c r="L27" s="50">
        <v>80</v>
      </c>
      <c r="M27" s="50">
        <v>3.075345</v>
      </c>
      <c r="N27" s="50">
        <v>26.013339999999999</v>
      </c>
      <c r="O27" s="58">
        <v>5.1199999999999997E-9</v>
      </c>
      <c r="P27" s="50">
        <v>72.908240000000006</v>
      </c>
      <c r="Q27" s="50">
        <v>87.091759999999994</v>
      </c>
      <c r="R27" s="50">
        <v>72.908240000000006</v>
      </c>
      <c r="S27" s="50">
        <v>87.091759999999994</v>
      </c>
    </row>
    <row r="28" spans="1:19">
      <c r="A28" s="50"/>
      <c r="B28" s="51"/>
      <c r="C28" s="51"/>
      <c r="D28" s="51"/>
      <c r="E28" s="51"/>
      <c r="F28" s="51"/>
      <c r="G28" s="50"/>
      <c r="H28" s="50"/>
      <c r="I28" s="50"/>
      <c r="J28" s="50"/>
      <c r="K28" s="57" t="s">
        <v>128</v>
      </c>
      <c r="L28" s="57">
        <v>4</v>
      </c>
      <c r="M28" s="57">
        <v>0.38684299999999999</v>
      </c>
      <c r="N28" s="57">
        <v>10.3401</v>
      </c>
      <c r="O28" s="59">
        <v>6.6100000000000002E-6</v>
      </c>
      <c r="P28" s="57">
        <v>3.1079370000000002</v>
      </c>
      <c r="Q28" s="57">
        <v>4.8920630000000003</v>
      </c>
      <c r="R28" s="57">
        <v>3.1079370000000002</v>
      </c>
      <c r="S28" s="57">
        <v>4.8920630000000003</v>
      </c>
    </row>
    <row r="29" spans="1:19">
      <c r="A29" s="50"/>
      <c r="B29" s="51"/>
      <c r="C29" s="51"/>
      <c r="D29" s="51"/>
      <c r="E29" s="51"/>
      <c r="F29" s="51"/>
      <c r="G29" s="50"/>
      <c r="H29" s="50"/>
      <c r="I29" s="50"/>
      <c r="J29" s="50"/>
      <c r="K29" s="68" t="s">
        <v>138</v>
      </c>
      <c r="L29" s="68"/>
      <c r="M29" s="68"/>
      <c r="N29" s="50"/>
      <c r="O29" s="50"/>
      <c r="P29" s="50"/>
      <c r="Q29" s="50"/>
      <c r="R29" s="50"/>
      <c r="S29" s="50"/>
    </row>
    <row r="30" spans="1:19">
      <c r="A30" s="51"/>
      <c r="B30" s="51"/>
      <c r="C30" s="51"/>
      <c r="D30" s="51"/>
      <c r="E30" s="51"/>
      <c r="F30" s="51"/>
      <c r="G30" s="50"/>
      <c r="H30" s="50"/>
      <c r="I30" s="50"/>
      <c r="J30" s="50"/>
      <c r="K30" s="50"/>
      <c r="L30" s="50"/>
      <c r="M30" s="50"/>
      <c r="N30" s="50"/>
      <c r="O30" s="50"/>
      <c r="P30" s="50"/>
      <c r="Q30" s="50"/>
      <c r="R30" s="50"/>
      <c r="S30" s="50"/>
    </row>
    <row r="31" spans="1:19">
      <c r="A31" s="51"/>
      <c r="B31" s="51"/>
      <c r="C31" s="51"/>
      <c r="D31" s="51"/>
      <c r="E31" s="51"/>
      <c r="F31" s="51"/>
      <c r="G31" s="50"/>
      <c r="H31" s="50"/>
      <c r="I31" s="50"/>
      <c r="J31" s="50"/>
      <c r="K31" s="50"/>
      <c r="L31" s="50"/>
      <c r="M31" s="50"/>
      <c r="N31" s="50"/>
      <c r="O31" s="50"/>
      <c r="P31" s="50"/>
      <c r="Q31" s="50"/>
      <c r="R31" s="50"/>
      <c r="S31" s="50"/>
    </row>
    <row r="32" spans="1:19">
      <c r="A32" s="51"/>
      <c r="B32" s="51"/>
      <c r="C32" s="51"/>
      <c r="D32" s="51"/>
      <c r="E32" s="51"/>
      <c r="F32" s="51"/>
      <c r="G32" s="50"/>
      <c r="H32" s="50"/>
      <c r="I32" s="50"/>
      <c r="J32" s="50"/>
      <c r="K32" s="50" t="s">
        <v>30</v>
      </c>
      <c r="L32" s="50"/>
      <c r="M32" s="50"/>
      <c r="N32" s="50"/>
      <c r="O32" s="50"/>
      <c r="P32" s="50" t="s">
        <v>36</v>
      </c>
      <c r="Q32" s="50"/>
      <c r="R32" s="50"/>
      <c r="S32" s="50"/>
    </row>
    <row r="33" spans="1:19" ht="18.75">
      <c r="A33" s="56" t="s">
        <v>139</v>
      </c>
      <c r="B33" s="56"/>
      <c r="C33" s="56"/>
      <c r="D33" s="56"/>
      <c r="E33" s="56"/>
      <c r="F33" s="56"/>
      <c r="G33" s="56"/>
      <c r="H33" s="56"/>
      <c r="I33" s="56"/>
      <c r="J33" s="50"/>
      <c r="K33" s="50"/>
      <c r="L33" s="50"/>
      <c r="M33" s="50"/>
      <c r="N33" s="50"/>
      <c r="O33" s="50"/>
      <c r="P33" s="50"/>
      <c r="Q33" s="50"/>
      <c r="R33" s="50"/>
      <c r="S33" s="50"/>
    </row>
    <row r="34" spans="1:19" ht="18.75">
      <c r="A34" s="56" t="s">
        <v>140</v>
      </c>
      <c r="B34" s="56"/>
      <c r="C34" s="51"/>
      <c r="D34" s="51"/>
      <c r="E34" s="51"/>
      <c r="F34" s="51"/>
      <c r="G34" s="50"/>
      <c r="H34" s="50"/>
      <c r="I34" s="50"/>
      <c r="J34" s="50"/>
      <c r="K34" s="54" t="s">
        <v>32</v>
      </c>
      <c r="L34" s="54" t="s">
        <v>141</v>
      </c>
      <c r="M34" s="54" t="s">
        <v>34</v>
      </c>
      <c r="N34" s="54" t="s">
        <v>35</v>
      </c>
      <c r="O34" s="50"/>
      <c r="P34" s="54" t="s">
        <v>37</v>
      </c>
      <c r="Q34" s="54" t="s">
        <v>129</v>
      </c>
      <c r="R34" s="50"/>
      <c r="S34" s="50"/>
    </row>
    <row r="35" spans="1:19">
      <c r="A35" s="51"/>
      <c r="B35" s="51"/>
      <c r="C35" s="51"/>
      <c r="D35" s="51"/>
      <c r="E35" s="51"/>
      <c r="F35" s="51"/>
      <c r="G35" s="50"/>
      <c r="H35" s="50"/>
      <c r="I35" s="50"/>
      <c r="J35" s="50"/>
      <c r="K35" s="50">
        <v>1</v>
      </c>
      <c r="L35" s="50">
        <v>84</v>
      </c>
      <c r="M35" s="50">
        <v>-4</v>
      </c>
      <c r="N35" s="50">
        <v>-0.92035999999999996</v>
      </c>
      <c r="O35" s="50"/>
      <c r="P35" s="50">
        <v>5</v>
      </c>
      <c r="Q35" s="50">
        <v>80</v>
      </c>
      <c r="R35" s="50"/>
      <c r="S35" s="50"/>
    </row>
    <row r="36" spans="1:19">
      <c r="A36" s="51"/>
      <c r="B36" s="51" t="s">
        <v>142</v>
      </c>
      <c r="C36" s="69" t="s">
        <v>143</v>
      </c>
      <c r="D36" s="69"/>
      <c r="E36" s="69"/>
      <c r="F36" s="69"/>
      <c r="G36" s="69"/>
      <c r="H36" s="69"/>
      <c r="I36" s="50"/>
      <c r="J36" s="50"/>
      <c r="K36" s="50">
        <v>2</v>
      </c>
      <c r="L36" s="50">
        <v>92</v>
      </c>
      <c r="M36" s="50">
        <v>5</v>
      </c>
      <c r="N36" s="50">
        <v>1.150447</v>
      </c>
      <c r="O36" s="50"/>
      <c r="P36" s="50">
        <v>15</v>
      </c>
      <c r="Q36" s="50">
        <v>92</v>
      </c>
      <c r="R36" s="50"/>
      <c r="S36" s="50"/>
    </row>
    <row r="37" spans="1:19">
      <c r="A37" s="51"/>
      <c r="B37" s="51"/>
      <c r="C37" s="51"/>
      <c r="D37" s="51"/>
      <c r="E37" s="51"/>
      <c r="F37" s="51"/>
      <c r="G37" s="50"/>
      <c r="H37" s="50"/>
      <c r="I37" s="50"/>
      <c r="J37" s="50"/>
      <c r="K37" s="50">
        <v>3</v>
      </c>
      <c r="L37" s="50">
        <v>96</v>
      </c>
      <c r="M37" s="50">
        <v>-4</v>
      </c>
      <c r="N37" s="50">
        <v>-0.92035999999999996</v>
      </c>
      <c r="O37" s="50"/>
      <c r="P37" s="50">
        <v>25</v>
      </c>
      <c r="Q37" s="50">
        <v>97</v>
      </c>
      <c r="R37" s="50"/>
      <c r="S37" s="50"/>
    </row>
    <row r="38" spans="1:19">
      <c r="A38" s="50"/>
      <c r="B38" s="51"/>
      <c r="C38" s="51"/>
      <c r="D38" s="51"/>
      <c r="E38" s="51"/>
      <c r="F38" s="51"/>
      <c r="G38" s="50"/>
      <c r="H38" s="50"/>
      <c r="I38" s="50"/>
      <c r="J38" s="50"/>
      <c r="K38" s="50">
        <v>4</v>
      </c>
      <c r="L38" s="50">
        <v>96</v>
      </c>
      <c r="M38" s="50">
        <v>6</v>
      </c>
      <c r="N38" s="50">
        <v>1.3805369999999999</v>
      </c>
      <c r="O38" s="50"/>
      <c r="P38" s="50">
        <v>35</v>
      </c>
      <c r="Q38" s="50">
        <v>102</v>
      </c>
      <c r="R38" s="50"/>
      <c r="S38" s="50"/>
    </row>
    <row r="39" spans="1:19">
      <c r="A39" s="50"/>
      <c r="B39" s="51"/>
      <c r="C39" s="51"/>
      <c r="D39" s="51"/>
      <c r="E39" s="51"/>
      <c r="F39" s="51"/>
      <c r="G39" s="50"/>
      <c r="H39" s="50"/>
      <c r="I39" s="50"/>
      <c r="J39" s="50"/>
      <c r="K39" s="50">
        <v>5</v>
      </c>
      <c r="L39" s="50">
        <v>104</v>
      </c>
      <c r="M39" s="50">
        <v>-1</v>
      </c>
      <c r="N39" s="50">
        <v>-0.23008999999999999</v>
      </c>
      <c r="O39" s="50"/>
      <c r="P39" s="50">
        <v>45</v>
      </c>
      <c r="Q39" s="50">
        <v>103</v>
      </c>
      <c r="R39" s="50"/>
      <c r="S39" s="50"/>
    </row>
    <row r="40" spans="1:19" ht="18.75">
      <c r="A40" s="56" t="s">
        <v>123</v>
      </c>
      <c r="B40" s="56"/>
      <c r="C40" s="56"/>
      <c r="D40" s="56"/>
      <c r="E40" s="56"/>
      <c r="F40" s="56"/>
      <c r="G40" s="50"/>
      <c r="H40" s="50"/>
      <c r="I40" s="50"/>
      <c r="J40" s="50"/>
      <c r="K40" s="50">
        <v>6</v>
      </c>
      <c r="L40" s="50">
        <v>112</v>
      </c>
      <c r="M40" s="50">
        <v>-1</v>
      </c>
      <c r="N40" s="50">
        <v>-0.23008999999999999</v>
      </c>
      <c r="O40" s="50"/>
      <c r="P40" s="50">
        <v>55</v>
      </c>
      <c r="Q40" s="50">
        <v>111</v>
      </c>
      <c r="R40" s="50"/>
      <c r="S40" s="50"/>
    </row>
    <row r="41" spans="1:19" ht="18.75">
      <c r="A41" s="56" t="s">
        <v>124</v>
      </c>
      <c r="B41" s="56"/>
      <c r="C41" s="51"/>
      <c r="D41" s="51"/>
      <c r="E41" s="51"/>
      <c r="F41" s="51"/>
      <c r="G41" s="50"/>
      <c r="H41" s="50"/>
      <c r="I41" s="50"/>
      <c r="J41" s="50"/>
      <c r="K41" s="50">
        <v>7</v>
      </c>
      <c r="L41" s="50">
        <v>120</v>
      </c>
      <c r="M41" s="50">
        <v>-1</v>
      </c>
      <c r="N41" s="50">
        <v>-0.23008999999999999</v>
      </c>
      <c r="O41" s="50"/>
      <c r="P41" s="50">
        <v>65</v>
      </c>
      <c r="Q41" s="50">
        <v>117</v>
      </c>
      <c r="R41" s="50"/>
      <c r="S41" s="50"/>
    </row>
    <row r="42" spans="1:19">
      <c r="A42" s="51"/>
      <c r="B42" s="51"/>
      <c r="C42" s="51"/>
      <c r="D42" s="51"/>
      <c r="E42" s="51"/>
      <c r="F42" s="51"/>
      <c r="G42" s="50"/>
      <c r="H42" s="50"/>
      <c r="I42" s="50"/>
      <c r="J42" s="50"/>
      <c r="K42" s="50">
        <v>8</v>
      </c>
      <c r="L42" s="50">
        <v>120</v>
      </c>
      <c r="M42" s="50">
        <v>3</v>
      </c>
      <c r="N42" s="50">
        <v>0.69026799999999999</v>
      </c>
      <c r="O42" s="50"/>
      <c r="P42" s="50">
        <v>75</v>
      </c>
      <c r="Q42" s="50">
        <v>119</v>
      </c>
      <c r="R42" s="50"/>
      <c r="S42" s="50"/>
    </row>
    <row r="43" spans="1:19">
      <c r="A43" s="50" t="s">
        <v>13</v>
      </c>
      <c r="B43" s="50">
        <v>0.96456463299999995</v>
      </c>
      <c r="C43" s="51"/>
      <c r="D43" s="60">
        <v>0.96460000000000001</v>
      </c>
      <c r="E43" s="51"/>
      <c r="F43" s="51"/>
      <c r="G43" s="50"/>
      <c r="H43" s="50"/>
      <c r="I43" s="50"/>
      <c r="J43" s="50"/>
      <c r="K43" s="50">
        <v>9</v>
      </c>
      <c r="L43" s="50">
        <v>124</v>
      </c>
      <c r="M43" s="50">
        <v>-7</v>
      </c>
      <c r="N43" s="50">
        <v>-1.61063</v>
      </c>
      <c r="O43" s="50"/>
      <c r="P43" s="50">
        <v>85</v>
      </c>
      <c r="Q43" s="50">
        <v>123</v>
      </c>
      <c r="R43" s="50"/>
      <c r="S43" s="50"/>
    </row>
    <row r="44" spans="1:19">
      <c r="A44" s="50" t="s">
        <v>14</v>
      </c>
      <c r="B44" s="50">
        <v>0.93038493</v>
      </c>
      <c r="C44" s="51"/>
      <c r="D44" s="60">
        <v>0.9304</v>
      </c>
      <c r="E44" s="51"/>
      <c r="F44" s="51"/>
      <c r="G44" s="50"/>
      <c r="H44" s="50"/>
      <c r="I44" s="50"/>
      <c r="J44" s="50"/>
      <c r="K44" s="57">
        <v>10</v>
      </c>
      <c r="L44" s="57">
        <v>132</v>
      </c>
      <c r="M44" s="57">
        <v>4</v>
      </c>
      <c r="N44" s="57">
        <v>0.92035800000000001</v>
      </c>
      <c r="O44" s="50"/>
      <c r="P44" s="57">
        <v>95</v>
      </c>
      <c r="Q44" s="57">
        <v>136</v>
      </c>
      <c r="R44" s="50"/>
      <c r="S44" s="50"/>
    </row>
    <row r="45" spans="1:19">
      <c r="A45" s="51"/>
      <c r="B45" s="51"/>
      <c r="C45" s="51"/>
      <c r="D45" s="51"/>
      <c r="E45" s="51"/>
      <c r="F45" s="51"/>
      <c r="G45" s="50"/>
      <c r="H45" s="50"/>
      <c r="I45" s="50"/>
      <c r="J45" s="50"/>
      <c r="K45" s="50"/>
      <c r="L45" s="50"/>
      <c r="M45" s="50"/>
      <c r="N45" s="50"/>
      <c r="O45" s="50"/>
      <c r="P45" s="50"/>
      <c r="Q45" s="50"/>
      <c r="R45" s="50"/>
      <c r="S45" s="50"/>
    </row>
    <row r="46" spans="1:19">
      <c r="A46" s="51" t="s">
        <v>144</v>
      </c>
      <c r="B46" s="51"/>
      <c r="C46" s="51"/>
      <c r="D46" s="51"/>
      <c r="E46" s="51"/>
      <c r="F46" s="51"/>
      <c r="G46" s="51"/>
      <c r="H46" s="50"/>
      <c r="I46" s="50"/>
      <c r="J46" s="50"/>
      <c r="K46" s="50"/>
      <c r="L46" s="50"/>
      <c r="M46" s="50"/>
      <c r="N46" s="50"/>
      <c r="O46" s="50"/>
      <c r="P46" s="50"/>
      <c r="Q46" s="50"/>
      <c r="R46" s="50"/>
      <c r="S46" s="50"/>
    </row>
    <row r="47" spans="1:19">
      <c r="A47" s="51" t="s">
        <v>145</v>
      </c>
      <c r="B47" s="51"/>
      <c r="C47" s="51"/>
      <c r="D47" s="51"/>
      <c r="E47" s="51"/>
      <c r="F47" s="51"/>
      <c r="G47" s="51"/>
      <c r="H47" s="51"/>
      <c r="I47" s="50"/>
      <c r="J47" s="50"/>
      <c r="K47" s="50"/>
      <c r="L47" s="50"/>
      <c r="M47" s="50"/>
      <c r="N47" s="50"/>
      <c r="O47" s="50"/>
      <c r="P47" s="50"/>
      <c r="Q47" s="50"/>
      <c r="R47" s="50"/>
      <c r="S47" s="50"/>
    </row>
    <row r="48" spans="1:19">
      <c r="A48" s="50"/>
      <c r="B48" s="51"/>
      <c r="C48" s="51"/>
      <c r="D48" s="51"/>
      <c r="E48" s="51"/>
      <c r="F48" s="51"/>
      <c r="G48" s="50"/>
      <c r="H48" s="50"/>
      <c r="I48" s="50"/>
      <c r="J48" s="50"/>
      <c r="K48" s="50"/>
      <c r="L48" s="50"/>
      <c r="M48" s="50"/>
      <c r="N48" s="50"/>
      <c r="O48" s="50"/>
      <c r="P48" s="50"/>
      <c r="Q48" s="50"/>
      <c r="R48" s="50"/>
      <c r="S48" s="50"/>
    </row>
    <row r="49" spans="1:19">
      <c r="A49" s="51"/>
      <c r="B49" s="51"/>
      <c r="C49" s="51"/>
      <c r="D49" s="51"/>
      <c r="E49" s="51"/>
      <c r="F49" s="51"/>
      <c r="G49" s="50"/>
      <c r="H49" s="50"/>
      <c r="I49" s="50"/>
      <c r="J49" s="50"/>
      <c r="K49" s="50"/>
      <c r="L49" s="50"/>
      <c r="M49" s="50"/>
      <c r="N49" s="50"/>
      <c r="O49" s="50"/>
      <c r="P49" s="50"/>
      <c r="Q49" s="50"/>
      <c r="R49" s="50"/>
      <c r="S49" s="50"/>
    </row>
    <row r="50" spans="1:19" ht="18.75">
      <c r="A50" s="56" t="s">
        <v>31</v>
      </c>
      <c r="B50" s="56"/>
      <c r="C50" s="56"/>
      <c r="D50" s="51"/>
      <c r="E50" s="51"/>
      <c r="F50" s="51"/>
      <c r="G50" s="50"/>
      <c r="H50" s="50"/>
      <c r="I50" s="50"/>
      <c r="J50" s="50"/>
      <c r="K50" s="50"/>
      <c r="L50" s="50"/>
      <c r="M50" s="50"/>
      <c r="N50" s="50"/>
      <c r="O50" s="50"/>
      <c r="P50" s="50"/>
      <c r="Q50" s="50"/>
      <c r="R50" s="50"/>
      <c r="S50" s="50"/>
    </row>
    <row r="51" spans="1:19">
      <c r="A51" s="51"/>
      <c r="B51" s="51"/>
      <c r="C51" s="51"/>
      <c r="D51" s="51"/>
      <c r="E51" s="51"/>
      <c r="F51" s="51"/>
      <c r="G51" s="50"/>
      <c r="H51" s="50"/>
      <c r="I51" s="50"/>
      <c r="J51" s="50"/>
      <c r="K51" s="50"/>
      <c r="L51" s="50"/>
      <c r="M51" s="50"/>
      <c r="N51" s="50"/>
      <c r="O51" s="50"/>
      <c r="P51" s="50"/>
      <c r="Q51" s="50"/>
      <c r="R51" s="50"/>
      <c r="S51" s="50"/>
    </row>
    <row r="52" spans="1:19">
      <c r="A52" s="50"/>
      <c r="B52" s="51"/>
      <c r="C52" s="51"/>
      <c r="D52" s="51"/>
      <c r="E52" s="51"/>
      <c r="F52" s="51"/>
      <c r="G52" s="50"/>
      <c r="H52" s="50"/>
      <c r="I52" s="50"/>
      <c r="J52" s="50"/>
      <c r="K52" s="50"/>
      <c r="L52" s="50"/>
      <c r="M52" s="50"/>
      <c r="N52" s="50"/>
      <c r="O52" s="50"/>
      <c r="P52" s="50"/>
      <c r="Q52" s="50"/>
      <c r="R52" s="50"/>
      <c r="S52" s="50"/>
    </row>
    <row r="53" spans="1:19" ht="93" customHeight="1">
      <c r="A53" s="51"/>
      <c r="B53" s="51"/>
      <c r="C53" s="51"/>
      <c r="D53" s="51"/>
      <c r="E53" s="51"/>
      <c r="F53" s="51"/>
      <c r="G53" s="50"/>
      <c r="H53" s="50"/>
      <c r="I53" s="61" t="s">
        <v>146</v>
      </c>
      <c r="J53" s="50"/>
      <c r="K53" s="50"/>
      <c r="L53" s="50"/>
      <c r="M53" s="50"/>
      <c r="N53" s="50"/>
      <c r="O53" s="50"/>
      <c r="P53" s="50"/>
      <c r="Q53" s="50"/>
      <c r="R53" s="50"/>
      <c r="S53" s="50"/>
    </row>
    <row r="54" spans="1:19" ht="93" customHeight="1">
      <c r="A54" s="51"/>
      <c r="B54" s="51"/>
      <c r="C54" s="51"/>
      <c r="D54" s="51"/>
      <c r="E54" s="51"/>
      <c r="F54" s="51"/>
      <c r="G54" s="50"/>
      <c r="H54" s="50"/>
      <c r="I54" s="61" t="s">
        <v>147</v>
      </c>
      <c r="J54" s="50"/>
      <c r="K54" s="50"/>
      <c r="L54" s="50"/>
      <c r="M54" s="50"/>
      <c r="N54" s="50"/>
      <c r="O54" s="50"/>
      <c r="P54" s="50"/>
      <c r="Q54" s="50"/>
      <c r="R54" s="50"/>
      <c r="S54" s="50"/>
    </row>
    <row r="55" spans="1:19">
      <c r="A55" s="51"/>
      <c r="B55" s="51"/>
      <c r="C55" s="51"/>
      <c r="D55" s="51"/>
      <c r="E55" s="51"/>
      <c r="F55" s="51"/>
      <c r="G55" s="50"/>
      <c r="H55" s="50"/>
      <c r="I55" s="50"/>
      <c r="J55" s="50"/>
      <c r="K55" s="50"/>
      <c r="L55" s="50"/>
      <c r="M55" s="50"/>
      <c r="N55" s="50"/>
      <c r="O55" s="50"/>
      <c r="P55" s="50"/>
      <c r="Q55" s="50"/>
      <c r="R55" s="50"/>
      <c r="S55" s="50"/>
    </row>
    <row r="56" spans="1:19">
      <c r="A56" s="50"/>
      <c r="B56" s="51"/>
      <c r="C56" s="51"/>
      <c r="D56" s="51"/>
      <c r="E56" s="51"/>
      <c r="F56" s="51"/>
      <c r="G56" s="50"/>
      <c r="H56" s="50"/>
      <c r="I56" s="50"/>
      <c r="J56" s="50"/>
      <c r="K56" s="50"/>
      <c r="L56" s="50"/>
      <c r="M56" s="50"/>
      <c r="N56" s="50"/>
      <c r="O56" s="50"/>
      <c r="P56" s="50"/>
      <c r="Q56" s="50"/>
      <c r="R56" s="50"/>
      <c r="S56" s="50"/>
    </row>
    <row r="57" spans="1:19">
      <c r="A57" s="51"/>
      <c r="B57" s="51"/>
      <c r="C57" s="51"/>
      <c r="D57" s="51"/>
      <c r="E57" s="51"/>
      <c r="F57" s="51"/>
      <c r="G57" s="50"/>
      <c r="H57" s="50"/>
      <c r="I57" s="50"/>
      <c r="J57" s="50"/>
      <c r="K57" s="50"/>
      <c r="L57" s="50"/>
      <c r="M57" s="50"/>
      <c r="N57" s="50"/>
      <c r="O57" s="50"/>
      <c r="P57" s="50"/>
      <c r="Q57" s="50"/>
      <c r="R57" s="50"/>
      <c r="S57" s="50"/>
    </row>
    <row r="58" spans="1:19">
      <c r="A58" s="51"/>
      <c r="B58" s="51"/>
      <c r="C58" s="51"/>
      <c r="D58" s="51"/>
      <c r="E58" s="51"/>
      <c r="F58" s="51"/>
      <c r="G58" s="50"/>
      <c r="H58" s="50"/>
      <c r="I58" s="50"/>
      <c r="J58" s="50"/>
      <c r="K58" s="50"/>
      <c r="L58" s="50"/>
      <c r="M58" s="50"/>
      <c r="N58" s="50"/>
      <c r="O58" s="50"/>
      <c r="P58" s="50"/>
      <c r="Q58" s="50"/>
      <c r="R58" s="50"/>
      <c r="S58" s="50"/>
    </row>
    <row r="59" spans="1:19" ht="18.75">
      <c r="A59" s="56" t="s">
        <v>148</v>
      </c>
      <c r="B59" s="56"/>
      <c r="C59" s="56"/>
      <c r="D59" s="56"/>
      <c r="E59" s="56"/>
      <c r="F59" s="56"/>
      <c r="G59" s="50"/>
      <c r="H59" s="50"/>
      <c r="I59" s="50"/>
      <c r="J59" s="50"/>
      <c r="K59" s="50"/>
      <c r="L59" s="50"/>
      <c r="M59" s="50"/>
      <c r="N59" s="50"/>
      <c r="O59" s="50"/>
      <c r="P59" s="50"/>
      <c r="Q59" s="50"/>
      <c r="R59" s="50"/>
      <c r="S59" s="50"/>
    </row>
    <row r="60" spans="1:19">
      <c r="A60" s="50"/>
      <c r="B60" s="51"/>
      <c r="C60" s="51"/>
      <c r="D60" s="51"/>
      <c r="E60" s="51"/>
      <c r="F60" s="51"/>
      <c r="G60" s="50"/>
      <c r="H60" s="50"/>
      <c r="I60" s="50"/>
      <c r="J60" s="50"/>
      <c r="K60" s="50"/>
      <c r="L60" s="50"/>
      <c r="M60" s="50"/>
      <c r="N60" s="50"/>
      <c r="O60" s="50"/>
      <c r="P60" s="50"/>
      <c r="Q60" s="50"/>
      <c r="R60" s="50"/>
      <c r="S60" s="50"/>
    </row>
    <row r="61" spans="1:19">
      <c r="A61" s="51"/>
      <c r="B61" s="51"/>
      <c r="C61" s="51"/>
      <c r="D61" s="51"/>
      <c r="E61" s="51"/>
      <c r="F61" s="51"/>
      <c r="G61" s="50"/>
      <c r="H61" s="50"/>
      <c r="I61" s="50"/>
      <c r="J61" s="50"/>
      <c r="K61" s="50"/>
      <c r="L61" s="50"/>
      <c r="M61" s="50"/>
      <c r="N61" s="50"/>
      <c r="O61" s="50"/>
      <c r="P61" s="50"/>
      <c r="Q61" s="50"/>
      <c r="R61" s="50"/>
      <c r="S61" s="50"/>
    </row>
    <row r="62" spans="1:19">
      <c r="A62" s="51"/>
      <c r="B62" s="51" t="s">
        <v>142</v>
      </c>
      <c r="C62" s="51"/>
      <c r="D62" s="51"/>
      <c r="E62" s="51"/>
      <c r="F62" s="51"/>
      <c r="G62" s="50"/>
      <c r="H62" s="50"/>
      <c r="I62" s="50"/>
      <c r="J62" s="50"/>
      <c r="K62" s="50"/>
      <c r="L62" s="50"/>
      <c r="M62" s="50"/>
      <c r="N62" s="50"/>
      <c r="O62" s="50"/>
      <c r="P62" s="50"/>
      <c r="Q62" s="50"/>
      <c r="R62" s="50"/>
      <c r="S62" s="50"/>
    </row>
    <row r="63" spans="1:19">
      <c r="A63" s="51"/>
      <c r="B63" s="51"/>
      <c r="C63" s="51"/>
      <c r="D63" s="51"/>
      <c r="E63" s="51"/>
      <c r="F63" s="51"/>
      <c r="G63" s="50"/>
      <c r="H63" s="50"/>
      <c r="I63" s="50"/>
      <c r="J63" s="50"/>
      <c r="K63" s="50"/>
      <c r="L63" s="50"/>
      <c r="M63" s="50"/>
      <c r="N63" s="50"/>
      <c r="O63" s="50"/>
      <c r="P63" s="50"/>
      <c r="Q63" s="50"/>
      <c r="R63" s="50"/>
      <c r="S63" s="50"/>
    </row>
    <row r="64" spans="1:19">
      <c r="A64" s="51"/>
      <c r="B64" s="51" t="s">
        <v>149</v>
      </c>
      <c r="C64" s="51">
        <v>110</v>
      </c>
      <c r="D64" s="51"/>
      <c r="E64" s="51"/>
      <c r="F64" s="51"/>
      <c r="G64" s="50"/>
      <c r="H64" s="50"/>
      <c r="I64" s="50"/>
      <c r="J64" s="50"/>
      <c r="K64" s="50"/>
      <c r="L64" s="50"/>
      <c r="M64" s="50"/>
      <c r="N64" s="50"/>
      <c r="O64" s="50"/>
      <c r="P64" s="50"/>
      <c r="Q64" s="50"/>
      <c r="R64" s="50"/>
      <c r="S64" s="50"/>
    </row>
    <row r="65" spans="1:19">
      <c r="A65" s="51"/>
      <c r="B65" s="50"/>
      <c r="C65" s="51"/>
      <c r="D65" s="51"/>
      <c r="E65" s="51"/>
      <c r="F65" s="51"/>
      <c r="G65" s="50"/>
      <c r="H65" s="50"/>
      <c r="I65" s="50"/>
      <c r="J65" s="50"/>
      <c r="K65" s="50"/>
      <c r="L65" s="50"/>
      <c r="M65" s="50"/>
      <c r="N65" s="50"/>
      <c r="O65" s="50"/>
      <c r="P65" s="50"/>
      <c r="Q65" s="50"/>
      <c r="R65" s="50"/>
      <c r="S65" s="50"/>
    </row>
    <row r="66" spans="1:19">
      <c r="A66" s="51"/>
      <c r="B66" s="50" t="s">
        <v>150</v>
      </c>
      <c r="C66" s="50"/>
      <c r="D66" s="50"/>
      <c r="E66" s="50"/>
      <c r="F66" s="51"/>
      <c r="G66" s="50"/>
      <c r="H66" s="50"/>
      <c r="I66" s="50"/>
      <c r="J66" s="50"/>
      <c r="K66" s="50"/>
      <c r="L66" s="50"/>
      <c r="M66" s="50"/>
      <c r="N66" s="50"/>
      <c r="O66" s="50"/>
      <c r="P66" s="50"/>
      <c r="Q66" s="50"/>
      <c r="R66" s="50"/>
      <c r="S66" s="50"/>
    </row>
    <row r="67" spans="1:19">
      <c r="A67" s="51"/>
      <c r="B67" s="51"/>
      <c r="C67" s="51"/>
      <c r="D67" s="51"/>
      <c r="E67" s="51"/>
      <c r="F67" s="51"/>
      <c r="G67" s="50"/>
      <c r="H67" s="50"/>
      <c r="I67" s="50"/>
      <c r="J67" s="50"/>
      <c r="K67" s="50"/>
      <c r="L67" s="50"/>
      <c r="M67" s="50"/>
      <c r="N67" s="50"/>
      <c r="O67" s="50"/>
      <c r="P67" s="50"/>
      <c r="Q67" s="50"/>
      <c r="R67" s="50"/>
      <c r="S67" s="50"/>
    </row>
    <row r="68" spans="1:19">
      <c r="A68" s="51"/>
      <c r="B68" s="51"/>
      <c r="C68" s="51"/>
      <c r="D68" s="51"/>
      <c r="E68" s="51"/>
      <c r="F68" s="51"/>
      <c r="G68" s="50"/>
      <c r="H68" s="50"/>
      <c r="I68" s="50"/>
      <c r="J68" s="50"/>
      <c r="K68" s="50"/>
      <c r="L68" s="50"/>
      <c r="M68" s="50"/>
      <c r="N68" s="50"/>
      <c r="O68" s="50"/>
      <c r="P68" s="50"/>
      <c r="Q68" s="50"/>
      <c r="R68" s="50"/>
      <c r="S68" s="50"/>
    </row>
    <row r="69" spans="1:19">
      <c r="A69" s="51"/>
      <c r="B69" s="51"/>
      <c r="C69" s="51"/>
      <c r="D69" s="51"/>
      <c r="E69" s="51"/>
      <c r="F69" s="51"/>
      <c r="G69" s="50"/>
      <c r="H69" s="50"/>
      <c r="I69" s="50"/>
      <c r="J69" s="50"/>
      <c r="K69" s="50"/>
      <c r="L69" s="50"/>
      <c r="M69" s="50"/>
      <c r="N69" s="50"/>
      <c r="O69" s="50"/>
      <c r="P69" s="50"/>
      <c r="Q69" s="50"/>
      <c r="R69" s="50"/>
      <c r="S69" s="50"/>
    </row>
    <row r="70" spans="1:19">
      <c r="A70" s="50"/>
      <c r="B70" s="51"/>
      <c r="C70" s="51"/>
      <c r="D70" s="51"/>
      <c r="E70" s="51"/>
      <c r="F70" s="51"/>
      <c r="G70" s="50"/>
      <c r="H70" s="50"/>
      <c r="I70" s="50"/>
      <c r="J70" s="50"/>
      <c r="K70" s="50"/>
      <c r="L70" s="50"/>
      <c r="M70" s="50"/>
      <c r="N70" s="50"/>
      <c r="O70" s="50"/>
      <c r="P70" s="50"/>
      <c r="Q70" s="50"/>
      <c r="R70" s="50"/>
      <c r="S70" s="50"/>
    </row>
  </sheetData>
  <mergeCells count="4">
    <mergeCell ref="A1:F1"/>
    <mergeCell ref="A2:F2"/>
    <mergeCell ref="K29:M29"/>
    <mergeCell ref="C36:H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Fabiana Ramirez  Quesada</dc:creator>
  <cp:keywords/>
  <dc:description/>
  <cp:lastModifiedBy/>
  <cp:revision/>
  <dcterms:created xsi:type="dcterms:W3CDTF">2024-08-13T02:29:06Z</dcterms:created>
  <dcterms:modified xsi:type="dcterms:W3CDTF">2024-08-20T05:18:36Z</dcterms:modified>
  <cp:category/>
  <cp:contentStatus/>
</cp:coreProperties>
</file>