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0"/>
  <workbookPr/>
  <mc:AlternateContent xmlns:mc="http://schemas.openxmlformats.org/markup-compatibility/2006">
    <mc:Choice Requires="x15">
      <x15ac:absPath xmlns:x15ac="http://schemas.microsoft.com/office/spreadsheetml/2010/11/ac" url="https://ulacited-my.sharepoint.com/personal/nrojasg399_ulacit_ed_cr/Documents/"/>
    </mc:Choice>
  </mc:AlternateContent>
  <xr:revisionPtr revIDLastSave="0" documentId="8_{6E91ABD8-1C2B-44C1-A021-033E062C770A}" xr6:coauthVersionLast="47" xr6:coauthVersionMax="47" xr10:uidLastSave="{00000000-0000-0000-0000-000000000000}"/>
  <bookViews>
    <workbookView xWindow="-108" yWindow="-108" windowWidth="23256" windowHeight="12456" firstSheet="4" activeTab="3" xr2:uid="{96A53AE1-2A42-4848-8209-F94149836DA5}"/>
  </bookViews>
  <sheets>
    <sheet name="Ejercicio 1" sheetId="1" r:id="rId1"/>
    <sheet name="Ejercicio 2" sheetId="2" r:id="rId2"/>
    <sheet name="Ejercicio 3" sheetId="3" r:id="rId3"/>
    <sheet name="Ejercicio 4" sheetId="4" r:id="rId4"/>
    <sheet name="Ejercicio 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5" l="1"/>
  <c r="H23" i="5" s="1"/>
  <c r="C38" i="3"/>
  <c r="C31" i="3"/>
  <c r="J8" i="1"/>
  <c r="I8" i="1"/>
  <c r="H8" i="1"/>
  <c r="B12" i="1"/>
  <c r="I20" i="1"/>
  <c r="H20" i="1"/>
  <c r="D26" i="5"/>
  <c r="E26" i="5" s="1"/>
  <c r="C26" i="5"/>
  <c r="B24" i="1"/>
  <c r="C20" i="3"/>
  <c r="E25" i="2"/>
  <c r="E27" i="2" s="1"/>
  <c r="E28" i="2" s="1"/>
  <c r="E23" i="2"/>
  <c r="E20" i="2"/>
  <c r="E18" i="2"/>
  <c r="H10" i="4"/>
  <c r="C15" i="5"/>
  <c r="G10" i="5" s="1"/>
  <c r="H10" i="5" s="1"/>
  <c r="D11" i="4"/>
  <c r="C11" i="4"/>
  <c r="E11" i="4" l="1"/>
  <c r="I10" i="4" s="1"/>
</calcChain>
</file>

<file path=xl/sharedStrings.xml><?xml version="1.0" encoding="utf-8"?>
<sst xmlns="http://schemas.openxmlformats.org/spreadsheetml/2006/main" count="128" uniqueCount="77">
  <si>
    <r>
      <t>Una universidad, les solicita a los estudiantes extranjeros una calificación mínima de 500 puntos en la prueba de inglés TOEFL y una puntuación mínima de 102 en el test de inteligencia (IQ). Según los datos de miles de estudiantes extranjeros que han presentado ambas pruebas en Estados Unidos, se reporta que para el caso de la TOEFL las puntuaciones siguen una distribución normal con </t>
    </r>
    <r>
      <rPr>
        <sz val="13.5"/>
        <color rgb="FF000000"/>
        <rFont val="Symbol"/>
        <charset val="1"/>
      </rPr>
      <t>m</t>
    </r>
    <r>
      <rPr>
        <sz val="13.5"/>
        <color rgb="FF000000"/>
        <rFont val="Cambria"/>
        <family val="1"/>
        <charset val="1"/>
      </rPr>
      <t>= 510 y </t>
    </r>
    <r>
      <rPr>
        <sz val="13.5"/>
        <color rgb="FF000000"/>
        <rFont val="Symbol"/>
        <charset val="1"/>
      </rPr>
      <t>s</t>
    </r>
    <r>
      <rPr>
        <sz val="13.5"/>
        <color rgb="FF000000"/>
        <rFont val="Cambria"/>
        <family val="1"/>
        <charset val="1"/>
      </rPr>
      <t>= 20, mientras que para la prueba del coeficiente intelectual, las puntuaciones siguen una distribución normal con    </t>
    </r>
    <r>
      <rPr>
        <sz val="13.5"/>
        <color rgb="FF000000"/>
        <rFont val="Symbol"/>
        <charset val="1"/>
      </rPr>
      <t>m</t>
    </r>
    <r>
      <rPr>
        <sz val="13.5"/>
        <color rgb="FF000000"/>
        <rFont val="Cambria"/>
        <family val="1"/>
        <charset val="1"/>
      </rPr>
      <t>= 112 y </t>
    </r>
    <r>
      <rPr>
        <sz val="13.5"/>
        <color rgb="FF000000"/>
        <rFont val="Symbol"/>
        <charset val="1"/>
      </rPr>
      <t>s</t>
    </r>
    <r>
      <rPr>
        <sz val="13.5"/>
        <color rgb="FF000000"/>
        <rFont val="Cambria"/>
        <family val="1"/>
        <charset val="1"/>
      </rPr>
      <t>= 10.</t>
    </r>
  </si>
  <si>
    <r>
      <t>a)</t>
    </r>
    <r>
      <rPr>
        <sz val="7"/>
        <color rgb="FF000000"/>
        <rFont val="Times New Roman"/>
        <family val="1"/>
        <charset val="1"/>
      </rPr>
      <t>    </t>
    </r>
    <r>
      <rPr>
        <sz val="12"/>
        <color rgb="FF000000"/>
        <rFont val="Cambria"/>
        <family val="1"/>
        <charset val="1"/>
      </rPr>
      <t>Si se elige al azar, un estudiante extranjero que haga la prueba TOEFL, ¿cuál es la probabilidad de que apruebe? </t>
    </r>
  </si>
  <si>
    <t>P(X&gt;500)</t>
  </si>
  <si>
    <t>1-P(x&lt;=500)</t>
  </si>
  <si>
    <t>DATOS</t>
  </si>
  <si>
    <t>Tipo de distribucción </t>
  </si>
  <si>
    <t>Norm. Est.</t>
  </si>
  <si>
    <t>Probabilidad</t>
  </si>
  <si>
    <r>
      <t>Media (</t>
    </r>
    <r>
      <rPr>
        <b/>
        <sz val="14"/>
        <color rgb="FF000000"/>
        <rFont val="Symbol"/>
        <family val="1"/>
        <charset val="1"/>
      </rPr>
      <t>m</t>
    </r>
    <r>
      <rPr>
        <b/>
        <sz val="14"/>
        <color rgb="FF000000"/>
        <rFont val="Calibri"/>
        <family val="2"/>
        <charset val="1"/>
      </rPr>
      <t>)</t>
    </r>
  </si>
  <si>
    <r>
      <rPr>
        <b/>
        <sz val="14"/>
        <color rgb="FF000000"/>
        <rFont val="Calibri"/>
      </rPr>
      <t xml:space="preserve">Interpretación: El estudiante escogido al azar tiene una probabilidad de aprobar del </t>
    </r>
    <r>
      <rPr>
        <b/>
        <sz val="14"/>
        <color rgb="FFFF0000"/>
        <rFont val="Calibri"/>
      </rPr>
      <t>69.15%</t>
    </r>
  </si>
  <si>
    <r>
      <t>Desviación estándar (</t>
    </r>
    <r>
      <rPr>
        <b/>
        <sz val="14"/>
        <color rgb="FF000000"/>
        <rFont val="Symbol"/>
        <family val="1"/>
        <charset val="1"/>
      </rPr>
      <t>s</t>
    </r>
    <r>
      <rPr>
        <b/>
        <sz val="14"/>
        <color rgb="FF000000"/>
        <rFont val="Calibri"/>
        <family val="2"/>
        <charset val="1"/>
      </rPr>
      <t>)</t>
    </r>
  </si>
  <si>
    <t>Valor (x)</t>
  </si>
  <si>
    <t>Valor (z)</t>
  </si>
  <si>
    <t xml:space="preserve">b)    ¿Cuál es el porcentaje de estudiantes extranjeros que aprueba la TOEFL? </t>
  </si>
  <si>
    <r>
      <rPr>
        <b/>
        <sz val="14"/>
        <color rgb="FF000000"/>
        <rFont val="Calibri"/>
      </rPr>
      <t xml:space="preserve">Interpretación: La cantidad de estudiantes extranjeros que pueden aprobar la TOEFL es de </t>
    </r>
    <r>
      <rPr>
        <b/>
        <sz val="14"/>
        <color rgb="FFFF0000"/>
        <rFont val="Calibri"/>
      </rPr>
      <t>30,85%</t>
    </r>
  </si>
  <si>
    <t>Ejercicio 2:</t>
  </si>
  <si>
    <t>En la Compañía Nacional de Fuerza y Luz se vende cierto tipo de lámparas que tienen una</t>
  </si>
  <si>
    <t>duración (en horas) que se distribuye aproximadamente de manera normal, con media</t>
  </si>
  <si>
    <t>de 800 horas y desviación estándar de 40 horas. Si se selecciona una de estas lámparas al</t>
  </si>
  <si>
    <t>azar y se prueba, ¿cuál es la probabilidad de que la duración de la lámpara esté entre 700</t>
  </si>
  <si>
    <t>y 804 horas?</t>
  </si>
  <si>
    <t>Tipo de distribucion:</t>
  </si>
  <si>
    <t>Normal</t>
  </si>
  <si>
    <t>Datos:</t>
  </si>
  <si>
    <t>P(700&lt;=X&lt;=804)</t>
  </si>
  <si>
    <t>Media (horas):</t>
  </si>
  <si>
    <t>Desv. Estandar (horas):</t>
  </si>
  <si>
    <t>Probabilidad de duracion(horas):</t>
  </si>
  <si>
    <t>Respuesta:</t>
  </si>
  <si>
    <t>z1 =</t>
  </si>
  <si>
    <t>z2=</t>
  </si>
  <si>
    <t>Probabilidad:</t>
  </si>
  <si>
    <t>P&lt;=700=</t>
  </si>
  <si>
    <t>P&lt;=804=</t>
  </si>
  <si>
    <t>Diferencia entre probabilidades:</t>
  </si>
  <si>
    <t>Diferencia entre probabilidades (%):</t>
  </si>
  <si>
    <t>Respuesta final:</t>
  </si>
  <si>
    <t>La probabilidad de que la duracion de la lampara este entre 700 y 804 horas es de 53,36%</t>
  </si>
  <si>
    <t>Según un comunicado, en los últimos años, la cantidad de personas obesas ha ido en</t>
  </si>
  <si>
    <t>aumento. Esta situación que preocupa a las autoridades, pues la condición de obesidad de</t>
  </si>
  <si>
    <t>una persona, aumenta el riesgo de sufrir mayor afectación en el padecimiento de diversas</t>
  </si>
  <si>
    <t>enfermedades. Por esta razón, se hizo un llamado al Ministerio de Educación, para que se</t>
  </si>
  <si>
    <t>implementen estrategias educativas que prevengan la aparición de obesidad en niños y</t>
  </si>
  <si>
    <t>jóvenes. Para dar seguimiento a la población de cierto centro educativo, la directora del</t>
  </si>
  <si>
    <t>centro, decidió registrar el peso de los 320 estudiantes matriculados en la institución. Se</t>
  </si>
  <si>
    <t>obtuvo un peso promedio de 60kg y una desviación estándar de 4kg. Se considera que la</t>
  </si>
  <si>
    <t>variable peso sigue una distribución aproximadamente normal y se elige, al azar, un</t>
  </si>
  <si>
    <t>estudiante de esa institución</t>
  </si>
  <si>
    <t>a) ¿Cuál es la probabilidad de que el peso del estudiante seleccionado sea de al
menos 68kg?</t>
  </si>
  <si>
    <t xml:space="preserve">Tipo de distribucción </t>
  </si>
  <si>
    <t>Estándar</t>
  </si>
  <si>
    <r>
      <t>Media (</t>
    </r>
    <r>
      <rPr>
        <b/>
        <sz val="14"/>
        <color theme="1"/>
        <rFont val="Symbol"/>
        <family val="1"/>
        <charset val="2"/>
      </rPr>
      <t>m</t>
    </r>
    <r>
      <rPr>
        <b/>
        <sz val="14"/>
        <color theme="1"/>
        <rFont val="Calibri"/>
        <family val="2"/>
      </rPr>
      <t>)</t>
    </r>
  </si>
  <si>
    <t>(kg)</t>
  </si>
  <si>
    <r>
      <t>Desviación estándar (</t>
    </r>
    <r>
      <rPr>
        <b/>
        <sz val="14"/>
        <color theme="1"/>
        <rFont val="Symbol"/>
        <family val="1"/>
        <charset val="2"/>
      </rPr>
      <t>s</t>
    </r>
    <r>
      <rPr>
        <b/>
        <sz val="14"/>
        <color theme="1"/>
        <rFont val="Aptos Narrow"/>
        <family val="2"/>
        <scheme val="minor"/>
      </rPr>
      <t>)</t>
    </r>
  </si>
  <si>
    <t>La probabilidad de que el peso del estudiante seleccionado sea de al menos 68kg es aproximadamente 0.0228</t>
  </si>
  <si>
    <t>Cuál es la probabilidad de que el peso del estudiante seleccionado esté entre 55kg</t>
  </si>
  <si>
    <t>y 65kg?</t>
  </si>
  <si>
    <t>DATOS 55kg</t>
  </si>
  <si>
    <t>La probabilidad de que el peso del estudiante seleccionado esté entre 55kg y 65kg es aproximadamente 0.7888.</t>
  </si>
  <si>
    <t>DATOS 65kg</t>
  </si>
  <si>
    <t>Suponga que el voltaje medido en un circuito eléctrico tiene distribución normal con
media 110 voltios y desviación estándar 1,5 voltios. Si se toman cuatro mediciones
independientes del voltaje ¿Cuál es la probabilidad de que las cuatro mediciones estén
entre 106 y 108 voltios?</t>
  </si>
  <si>
    <t>Interpretación: La probabilidad de que las cuatro mediciones estén entre 106 y 108 voltios es de 90,87%.</t>
  </si>
  <si>
    <t>Ejercicio 5:</t>
  </si>
  <si>
    <t>Suponga que un fabricante de neumáticos desea fijar una garantía de kilómetros</t>
  </si>
  <si>
    <t>recorridos para su nuevo neumático XT-25. Según las pruebas, se encontró una</t>
  </si>
  <si>
    <t>distribución aproximadamente normal con promedio de 52600 km recorridos y una</t>
  </si>
  <si>
    <t>desviación estándar de 1920 km. Con base en dicha información calcule</t>
  </si>
  <si>
    <t>a) ¿qué porcentaje de neumáticos tienen una duración menor a 47500?</t>
  </si>
  <si>
    <t>P(X&lt;240)</t>
  </si>
  <si>
    <t>Datos</t>
  </si>
  <si>
    <t>Tpo de distribución</t>
  </si>
  <si>
    <t>Normal Estandar</t>
  </si>
  <si>
    <r>
      <t xml:space="preserve">Interpretación: El porcentaje de neumaticos que tienen una duración menor de 47500 km es de aproximadamente de </t>
    </r>
    <r>
      <rPr>
        <sz val="11"/>
        <color rgb="FFFF0000"/>
        <rFont val="Aptos Narrow"/>
        <family val="2"/>
        <scheme val="minor"/>
      </rPr>
      <t>0,395%</t>
    </r>
  </si>
  <si>
    <t>Media</t>
  </si>
  <si>
    <t>Desviacion Estandar</t>
  </si>
  <si>
    <t>b) ¿cuál es la probabilidad de que un neumático elegido al azar recorra entre 53500 y 55000 km?</t>
  </si>
  <si>
    <r>
      <t xml:space="preserve">Interpretación: El porcentaje de que un neumatico al azar recorra entre 53500 y 55000 km es de aproximadamente un </t>
    </r>
    <r>
      <rPr>
        <sz val="11"/>
        <color rgb="FFFF0000"/>
        <rFont val="Aptos Narrow"/>
        <family val="2"/>
        <scheme val="minor"/>
      </rPr>
      <t>78%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</si>
</sst>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font>
      <sz val="11"/>
      <color theme="1"/>
      <name val="Aptos Narrow"/>
      <family val="2"/>
      <scheme val="minor"/>
    </font>
    <font>
      <sz val="16"/>
      <color rgb="FF000000"/>
      <name val="Times New Roman"/>
      <charset val="1"/>
    </font>
    <font>
      <sz val="14"/>
      <color rgb="FF000000"/>
      <name val="Times New Roman"/>
      <charset val="1"/>
    </font>
    <font>
      <sz val="12"/>
      <color rgb="FF000000"/>
      <name val="Times New Roman"/>
      <charset val="1"/>
    </font>
    <font>
      <b/>
      <sz val="18"/>
      <color theme="1"/>
      <name val="Aptos Narrow"/>
      <family val="2"/>
      <scheme val="minor"/>
    </font>
    <font>
      <b/>
      <sz val="14"/>
      <color theme="1"/>
      <name val="Aptos Narrow"/>
      <family val="2"/>
      <scheme val="minor"/>
    </font>
    <font>
      <sz val="14"/>
      <color theme="1"/>
      <name val="Aptos Narrow"/>
      <family val="2"/>
      <scheme val="minor"/>
    </font>
    <font>
      <b/>
      <sz val="14"/>
      <color theme="1"/>
      <name val="Symbol"/>
      <family val="1"/>
      <charset val="2"/>
    </font>
    <font>
      <b/>
      <sz val="14"/>
      <color theme="1"/>
      <name val="Calibri"/>
      <family val="2"/>
    </font>
    <font>
      <sz val="14"/>
      <color theme="1"/>
      <name val="Times New Roman"/>
      <charset val="1"/>
    </font>
    <font>
      <sz val="20"/>
      <color rgb="FF000000"/>
      <name val="Calibri"/>
      <family val="2"/>
    </font>
    <font>
      <sz val="11"/>
      <color rgb="FFFF0000"/>
      <name val="Aptos Narrow"/>
      <family val="2"/>
      <scheme val="minor"/>
    </font>
    <font>
      <b/>
      <sz val="11"/>
      <color theme="1"/>
      <name val="Aptos Narrow"/>
      <family val="2"/>
      <scheme val="minor"/>
    </font>
    <font>
      <sz val="13.5"/>
      <color rgb="FF000000"/>
      <name val="Symbol"/>
      <charset val="1"/>
    </font>
    <font>
      <sz val="13.5"/>
      <color rgb="FF000000"/>
      <name val="Cambria"/>
      <family val="1"/>
      <charset val="1"/>
    </font>
    <font>
      <sz val="7"/>
      <color rgb="FF000000"/>
      <name val="Times New Roman"/>
      <family val="1"/>
      <charset val="1"/>
    </font>
    <font>
      <sz val="12"/>
      <color rgb="FF000000"/>
      <name val="Cambria"/>
      <family val="1"/>
      <charset val="1"/>
    </font>
    <font>
      <b/>
      <sz val="14"/>
      <color rgb="FF000000"/>
      <name val="Symbol"/>
      <family val="1"/>
      <charset val="1"/>
    </font>
    <font>
      <b/>
      <sz val="14"/>
      <color rgb="FF000000"/>
      <name val="Calibri"/>
      <family val="2"/>
      <charset val="1"/>
    </font>
    <font>
      <b/>
      <sz val="18"/>
      <color rgb="FF000000"/>
      <name val="Calibri"/>
      <charset val="1"/>
    </font>
    <font>
      <b/>
      <sz val="14"/>
      <color rgb="FF000000"/>
      <name val="Calibri"/>
      <charset val="1"/>
    </font>
    <font>
      <sz val="14"/>
      <color rgb="FF000000"/>
      <name val="Calibri"/>
      <charset val="1"/>
    </font>
    <font>
      <u/>
      <sz val="11"/>
      <color theme="1"/>
      <name val="Aptos Narrow"/>
      <family val="2"/>
      <scheme val="minor"/>
    </font>
    <font>
      <sz val="11"/>
      <color theme="1"/>
      <name val="Times New Roman"/>
    </font>
    <font>
      <sz val="11"/>
      <color theme="1"/>
      <name val="Times New Roman"/>
      <charset val="1"/>
    </font>
    <font>
      <sz val="11"/>
      <color rgb="FF000000"/>
      <name val="Calibri"/>
      <charset val="1"/>
    </font>
    <font>
      <sz val="11"/>
      <color rgb="FF000000"/>
      <name val="Aptos Narrow"/>
    </font>
    <font>
      <b/>
      <sz val="14"/>
      <color rgb="FF000000"/>
      <name val="Calibri"/>
    </font>
    <font>
      <b/>
      <sz val="14"/>
      <color rgb="FFFF0000"/>
      <name val="Calibri"/>
    </font>
    <font>
      <sz val="18"/>
      <color theme="1"/>
      <name val="Aptos Narrow"/>
      <family val="2"/>
      <scheme val="minor"/>
    </font>
    <font>
      <sz val="18"/>
      <color rgb="FF000000"/>
      <name val="Calibri"/>
      <charset val="1"/>
    </font>
  </fonts>
  <fills count="7">
    <fill>
      <patternFill patternType="none"/>
    </fill>
    <fill>
      <patternFill patternType="gray125"/>
    </fill>
    <fill>
      <patternFill patternType="solid">
        <fgColor theme="9" tint="0.59999389629810485"/>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0B4"/>
        <bgColor indexed="64"/>
      </patternFill>
    </fill>
  </fills>
  <borders count="26">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indexed="64"/>
      </top>
      <bottom/>
      <diagonal/>
    </border>
    <border>
      <left style="medium">
        <color indexed="64"/>
      </left>
      <right/>
      <top/>
      <bottom style="medium">
        <color rgb="FF000000"/>
      </bottom>
      <diagonal/>
    </border>
    <border>
      <left/>
      <right/>
      <top/>
      <bottom style="medium">
        <color rgb="FF000000"/>
      </bottom>
      <diagonal/>
    </border>
  </borders>
  <cellStyleXfs count="1">
    <xf numFmtId="0" fontId="0" fillId="0" borderId="0"/>
  </cellStyleXfs>
  <cellXfs count="72">
    <xf numFmtId="0" fontId="0" fillId="0" borderId="0" xfId="0"/>
    <xf numFmtId="0" fontId="2" fillId="0" borderId="0" xfId="0" applyFont="1" applyAlignment="1">
      <alignment readingOrder="1"/>
    </xf>
    <xf numFmtId="0" fontId="2" fillId="0" borderId="0" xfId="0" applyFont="1" applyAlignment="1">
      <alignment wrapText="1"/>
    </xf>
    <xf numFmtId="0" fontId="3" fillId="0" borderId="0" xfId="0" applyFont="1" applyAlignment="1">
      <alignment readingOrder="1"/>
    </xf>
    <xf numFmtId="0" fontId="5" fillId="0" borderId="3" xfId="0" applyFont="1" applyBorder="1" applyAlignment="1">
      <alignment horizontal="center" vertical="center" wrapText="1"/>
    </xf>
    <xf numFmtId="0" fontId="6" fillId="0" borderId="4" xfId="0" applyFont="1" applyBorder="1" applyAlignment="1">
      <alignment horizontal="center" vertical="center"/>
    </xf>
    <xf numFmtId="0" fontId="5" fillId="0" borderId="5" xfId="0" applyFont="1" applyBorder="1" applyAlignment="1">
      <alignment horizontal="center" vertical="center" wrapText="1"/>
    </xf>
    <xf numFmtId="0" fontId="6" fillId="0" borderId="2" xfId="0" applyFont="1" applyBorder="1" applyAlignment="1">
      <alignment horizontal="center" vertical="center"/>
    </xf>
    <xf numFmtId="0" fontId="6" fillId="0" borderId="6" xfId="0" applyFont="1" applyBorder="1" applyAlignment="1">
      <alignment horizontal="center" vertical="center"/>
    </xf>
    <xf numFmtId="0" fontId="6" fillId="0" borderId="5" xfId="0" applyFont="1" applyBorder="1" applyAlignment="1">
      <alignment horizontal="center" vertical="center"/>
    </xf>
    <xf numFmtId="0" fontId="6" fillId="0" borderId="3" xfId="0" applyFont="1" applyBorder="1" applyAlignment="1">
      <alignment horizontal="center" vertical="center"/>
    </xf>
    <xf numFmtId="0" fontId="9" fillId="0" borderId="0" xfId="0" applyFont="1"/>
    <xf numFmtId="0" fontId="9" fillId="3" borderId="0" xfId="0" applyFont="1" applyFill="1" applyAlignment="1">
      <alignment readingOrder="1"/>
    </xf>
    <xf numFmtId="0" fontId="0" fillId="0" borderId="7" xfId="0" applyBorder="1"/>
    <xf numFmtId="0" fontId="0" fillId="0" borderId="7" xfId="0" applyBorder="1" applyAlignment="1">
      <alignment horizontal="center"/>
    </xf>
    <xf numFmtId="0" fontId="5" fillId="4" borderId="8" xfId="0" applyFont="1" applyFill="1" applyBorder="1" applyAlignment="1">
      <alignment horizontal="center" vertical="center" wrapText="1"/>
    </xf>
    <xf numFmtId="0" fontId="10" fillId="0" borderId="0" xfId="0" applyFont="1"/>
    <xf numFmtId="0" fontId="0" fillId="5" borderId="0" xfId="0" applyFill="1"/>
    <xf numFmtId="0" fontId="5" fillId="4" borderId="14" xfId="0" applyFont="1" applyFill="1" applyBorder="1" applyAlignment="1">
      <alignment horizontal="center" vertical="center" wrapText="1"/>
    </xf>
    <xf numFmtId="0" fontId="14" fillId="0" borderId="0" xfId="0" applyFont="1" applyAlignment="1">
      <alignment wrapText="1"/>
    </xf>
    <xf numFmtId="0" fontId="16" fillId="0" borderId="0" xfId="0" applyFont="1"/>
    <xf numFmtId="0" fontId="19" fillId="6" borderId="1" xfId="0" applyFont="1" applyFill="1" applyBorder="1" applyAlignment="1">
      <alignment wrapText="1"/>
    </xf>
    <xf numFmtId="0" fontId="19" fillId="6" borderId="15" xfId="0" applyFont="1" applyFill="1" applyBorder="1" applyAlignment="1">
      <alignment wrapText="1"/>
    </xf>
    <xf numFmtId="0" fontId="20" fillId="0" borderId="16" xfId="0" applyFont="1" applyBorder="1" applyAlignment="1">
      <alignment wrapText="1"/>
    </xf>
    <xf numFmtId="0" fontId="21" fillId="0" borderId="17" xfId="0" applyFont="1" applyBorder="1"/>
    <xf numFmtId="0" fontId="21" fillId="0" borderId="18" xfId="0" applyFont="1" applyBorder="1"/>
    <xf numFmtId="0" fontId="21" fillId="0" borderId="19" xfId="0" applyFont="1" applyBorder="1"/>
    <xf numFmtId="0" fontId="12" fillId="0" borderId="0" xfId="0" applyFont="1"/>
    <xf numFmtId="0" fontId="22" fillId="0" borderId="0" xfId="0" applyFont="1"/>
    <xf numFmtId="0" fontId="0" fillId="0" borderId="21" xfId="0" applyBorder="1" applyAlignment="1">
      <alignment horizontal="center"/>
    </xf>
    <xf numFmtId="0" fontId="23" fillId="0" borderId="0" xfId="0" applyFont="1"/>
    <xf numFmtId="0" fontId="24" fillId="3" borderId="0" xfId="0" applyFont="1" applyFill="1" applyAlignment="1">
      <alignment readingOrder="1"/>
    </xf>
    <xf numFmtId="164" fontId="21" fillId="0" borderId="17" xfId="0" applyNumberFormat="1" applyFont="1" applyBorder="1"/>
    <xf numFmtId="0" fontId="0" fillId="0" borderId="20" xfId="0" applyBorder="1" applyAlignment="1">
      <alignment horizontal="center"/>
    </xf>
    <xf numFmtId="0" fontId="6" fillId="0" borderId="0" xfId="0" applyFont="1"/>
    <xf numFmtId="0" fontId="0" fillId="5" borderId="20" xfId="0" applyFill="1" applyBorder="1"/>
    <xf numFmtId="0" fontId="20" fillId="3" borderId="22" xfId="0" applyFont="1" applyFill="1" applyBorder="1" applyAlignment="1">
      <alignment wrapText="1"/>
    </xf>
    <xf numFmtId="0" fontId="25" fillId="0" borderId="0" xfId="0" applyFont="1"/>
    <xf numFmtId="0" fontId="0" fillId="0" borderId="0" xfId="0" applyAlignment="1">
      <alignment vertical="center" wrapText="1"/>
    </xf>
    <xf numFmtId="0" fontId="26" fillId="0" borderId="0" xfId="0" applyFont="1"/>
    <xf numFmtId="10" fontId="25" fillId="0" borderId="0" xfId="0" applyNumberFormat="1" applyFont="1"/>
    <xf numFmtId="0" fontId="29" fillId="0" borderId="0" xfId="0" applyFont="1"/>
    <xf numFmtId="0" fontId="30" fillId="5" borderId="0" xfId="0" applyFont="1" applyFill="1"/>
    <xf numFmtId="0" fontId="19" fillId="6" borderId="1" xfId="0" applyFont="1" applyFill="1" applyBorder="1" applyAlignment="1">
      <alignment wrapText="1"/>
    </xf>
    <xf numFmtId="0" fontId="19" fillId="6" borderId="15" xfId="0" applyFont="1" applyFill="1" applyBorder="1" applyAlignment="1">
      <alignment wrapText="1"/>
    </xf>
    <xf numFmtId="0" fontId="20" fillId="0" borderId="8" xfId="0" applyFont="1" applyBorder="1" applyAlignment="1">
      <alignment wrapText="1"/>
    </xf>
    <xf numFmtId="0" fontId="20" fillId="0" borderId="9" xfId="0" applyFont="1" applyBorder="1" applyAlignment="1">
      <alignment wrapText="1"/>
    </xf>
    <xf numFmtId="0" fontId="20" fillId="0" borderId="23" xfId="0" applyFont="1" applyBorder="1" applyAlignment="1">
      <alignment wrapText="1"/>
    </xf>
    <xf numFmtId="0" fontId="20" fillId="0" borderId="11" xfId="0" applyFont="1" applyBorder="1" applyAlignment="1">
      <alignment wrapText="1"/>
    </xf>
    <xf numFmtId="0" fontId="20" fillId="0" borderId="0" xfId="0" applyFont="1" applyAlignment="1">
      <alignment wrapText="1"/>
    </xf>
    <xf numFmtId="0" fontId="20" fillId="0" borderId="18" xfId="0" applyFont="1" applyBorder="1" applyAlignment="1">
      <alignment wrapText="1"/>
    </xf>
    <xf numFmtId="0" fontId="20" fillId="0" borderId="24" xfId="0" applyFont="1" applyBorder="1" applyAlignment="1">
      <alignment wrapText="1"/>
    </xf>
    <xf numFmtId="0" fontId="20" fillId="0" borderId="25" xfId="0" applyFont="1" applyBorder="1" applyAlignment="1">
      <alignment wrapText="1"/>
    </xf>
    <xf numFmtId="0" fontId="20" fillId="0" borderId="17" xfId="0" applyFont="1" applyBorder="1" applyAlignment="1">
      <alignment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0" fillId="0" borderId="7" xfId="0" applyBorder="1" applyAlignment="1">
      <alignment horizontal="left" wrapText="1"/>
    </xf>
    <xf numFmtId="0" fontId="6" fillId="0" borderId="7" xfId="0" applyFont="1" applyBorder="1" applyAlignment="1">
      <alignment horizontal="center"/>
    </xf>
    <xf numFmtId="0" fontId="0" fillId="0" borderId="7" xfId="0" applyBorder="1" applyAlignment="1">
      <alignment horizontal="center" wrapText="1"/>
    </xf>
    <xf numFmtId="0" fontId="0" fillId="0" borderId="0" xfId="0" applyAlignment="1">
      <alignment horizont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0" borderId="0" xfId="0" applyFont="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6" xfId="0" applyFont="1" applyBorder="1" applyAlignment="1">
      <alignment horizontal="left" vertical="center"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5" fillId="0" borderId="4" xfId="0" applyFont="1" applyBorder="1" applyAlignment="1">
      <alignment horizontal="left" vertical="center" wrapText="1"/>
    </xf>
    <xf numFmtId="0" fontId="1" fillId="0" borderId="0" xfId="0" applyFont="1" applyAlignment="1">
      <alignment horizontal="center" vertical="center" wrapText="1"/>
    </xf>
    <xf numFmtId="0" fontId="2" fillId="2" borderId="7" xfId="0" applyFont="1" applyFill="1" applyBorder="1" applyAlignment="1">
      <alignment horizontal="center" readingOrder="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108585</xdr:colOff>
      <xdr:row>8</xdr:row>
      <xdr:rowOff>321945</xdr:rowOff>
    </xdr:from>
    <xdr:to>
      <xdr:col>13</xdr:col>
      <xdr:colOff>22860</xdr:colOff>
      <xdr:row>13</xdr:row>
      <xdr:rowOff>150495</xdr:rowOff>
    </xdr:to>
    <xdr:pic>
      <xdr:nvPicPr>
        <xdr:cNvPr id="2" name="Picture 1">
          <a:extLst>
            <a:ext uri="{FF2B5EF4-FFF2-40B4-BE49-F238E27FC236}">
              <a16:creationId xmlns:a16="http://schemas.microsoft.com/office/drawing/2014/main" id="{6B932EBC-E190-9694-2F67-7DC22A78CC55}"/>
            </a:ext>
          </a:extLst>
        </xdr:cNvPr>
        <xdr:cNvPicPr>
          <a:picLocks noChangeAspect="1"/>
        </xdr:cNvPicPr>
      </xdr:nvPicPr>
      <xdr:blipFill>
        <a:blip xmlns:r="http://schemas.openxmlformats.org/officeDocument/2006/relationships" r:embed="rId1"/>
        <a:stretch>
          <a:fillRect/>
        </a:stretch>
      </xdr:blipFill>
      <xdr:spPr>
        <a:xfrm>
          <a:off x="8963025" y="2379345"/>
          <a:ext cx="1552575" cy="933450"/>
        </a:xfrm>
        <a:prstGeom prst="rect">
          <a:avLst/>
        </a:prstGeom>
      </xdr:spPr>
    </xdr:pic>
    <xdr:clientData/>
  </xdr:twoCellAnchor>
  <xdr:twoCellAnchor editAs="oneCell">
    <xdr:from>
      <xdr:col>1</xdr:col>
      <xdr:colOff>0</xdr:colOff>
      <xdr:row>28</xdr:row>
      <xdr:rowOff>0</xdr:rowOff>
    </xdr:from>
    <xdr:to>
      <xdr:col>2</xdr:col>
      <xdr:colOff>272415</xdr:colOff>
      <xdr:row>33</xdr:row>
      <xdr:rowOff>19050</xdr:rowOff>
    </xdr:to>
    <xdr:pic>
      <xdr:nvPicPr>
        <xdr:cNvPr id="3" name="Picture 1">
          <a:extLst>
            <a:ext uri="{FF2B5EF4-FFF2-40B4-BE49-F238E27FC236}">
              <a16:creationId xmlns:a16="http://schemas.microsoft.com/office/drawing/2014/main" id="{7B2D55E0-6322-4EF2-B2FB-1E2BC7228B71}"/>
            </a:ext>
          </a:extLst>
        </xdr:cNvPr>
        <xdr:cNvPicPr>
          <a:picLocks noChangeAspect="1"/>
        </xdr:cNvPicPr>
      </xdr:nvPicPr>
      <xdr:blipFill>
        <a:blip xmlns:r="http://schemas.openxmlformats.org/officeDocument/2006/relationships" r:embed="rId1"/>
        <a:stretch>
          <a:fillRect/>
        </a:stretch>
      </xdr:blipFill>
      <xdr:spPr>
        <a:xfrm>
          <a:off x="609600" y="5966460"/>
          <a:ext cx="1552575" cy="933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08D0C-B825-495D-AD91-3D293092AEA7}">
  <dimension ref="A2:L24"/>
  <sheetViews>
    <sheetView topLeftCell="A6" workbookViewId="0">
      <selection activeCell="D1" sqref="D1"/>
    </sheetView>
  </sheetViews>
  <sheetFormatPr defaultColWidth="8.85546875" defaultRowHeight="14.45"/>
  <cols>
    <col min="1" max="1" width="37.140625" customWidth="1"/>
    <col min="2" max="2" width="13.85546875" customWidth="1"/>
    <col min="6" max="6" width="5.85546875" customWidth="1"/>
    <col min="7" max="7" width="19" customWidth="1"/>
    <col min="8" max="8" width="13.5703125" customWidth="1"/>
    <col min="9" max="9" width="11.42578125" customWidth="1"/>
  </cols>
  <sheetData>
    <row r="2" spans="1:12" ht="409.6">
      <c r="A2" s="19" t="s">
        <v>0</v>
      </c>
    </row>
    <row r="3" spans="1:12" ht="15.6">
      <c r="A3" s="20" t="s">
        <v>1</v>
      </c>
    </row>
    <row r="4" spans="1:12" ht="15.6">
      <c r="A4" s="20"/>
    </row>
    <row r="6" spans="1:12" ht="15" thickBot="1">
      <c r="H6" s="39" t="s">
        <v>2</v>
      </c>
      <c r="I6" s="39" t="s">
        <v>3</v>
      </c>
    </row>
    <row r="7" spans="1:12" ht="24" thickBot="1">
      <c r="A7" s="43" t="s">
        <v>4</v>
      </c>
      <c r="B7" s="44"/>
    </row>
    <row r="8" spans="1:12" ht="18.600000000000001" thickBot="1">
      <c r="A8" s="23" t="s">
        <v>5</v>
      </c>
      <c r="B8" s="24" t="s">
        <v>6</v>
      </c>
      <c r="G8" s="36" t="s">
        <v>7</v>
      </c>
      <c r="H8">
        <f>_xlfn.NORM.S.DIST(B12,1)</f>
        <v>0.30853753872598688</v>
      </c>
      <c r="I8" s="37">
        <f>1-H8</f>
        <v>0.69146246127401312</v>
      </c>
      <c r="J8" s="40">
        <f>1-H8</f>
        <v>0.69146246127401312</v>
      </c>
      <c r="K8" s="37"/>
      <c r="L8" s="37"/>
    </row>
    <row r="9" spans="1:12" ht="18.600000000000001" thickBot="1">
      <c r="A9" s="23" t="s">
        <v>8</v>
      </c>
      <c r="B9" s="24">
        <v>510</v>
      </c>
      <c r="G9" s="45" t="s">
        <v>9</v>
      </c>
      <c r="H9" s="46"/>
      <c r="I9" s="46"/>
      <c r="J9" s="46"/>
      <c r="K9" s="46"/>
      <c r="L9" s="47"/>
    </row>
    <row r="10" spans="1:12" ht="18.600000000000001" thickBot="1">
      <c r="A10" s="23" t="s">
        <v>10</v>
      </c>
      <c r="B10" s="25">
        <v>20</v>
      </c>
      <c r="G10" s="48"/>
      <c r="H10" s="49"/>
      <c r="I10" s="49"/>
      <c r="J10" s="49"/>
      <c r="K10" s="49"/>
      <c r="L10" s="50"/>
    </row>
    <row r="11" spans="1:12" ht="18.600000000000001" thickBot="1">
      <c r="A11" s="23" t="s">
        <v>11</v>
      </c>
      <c r="B11" s="26">
        <v>500</v>
      </c>
      <c r="G11" s="51"/>
      <c r="H11" s="52"/>
      <c r="I11" s="52"/>
      <c r="J11" s="52"/>
      <c r="K11" s="52"/>
      <c r="L11" s="53"/>
    </row>
    <row r="12" spans="1:12" ht="18.600000000000001" thickBot="1">
      <c r="A12" s="23" t="s">
        <v>12</v>
      </c>
      <c r="B12" s="24">
        <f>(B11-B9)/B10</f>
        <v>-0.5</v>
      </c>
    </row>
    <row r="18" spans="1:12" ht="15" thickBot="1">
      <c r="A18" t="s">
        <v>13</v>
      </c>
    </row>
    <row r="19" spans="1:12" ht="24" thickBot="1">
      <c r="A19" s="21"/>
      <c r="B19" s="22"/>
    </row>
    <row r="20" spans="1:12" ht="24" thickBot="1">
      <c r="A20" s="23" t="s">
        <v>5</v>
      </c>
      <c r="B20" s="24" t="s">
        <v>6</v>
      </c>
      <c r="G20" s="36" t="s">
        <v>7</v>
      </c>
      <c r="H20" s="41">
        <f>_xlfn.NORM.S.DIST(B24,TRUE)</f>
        <v>0.30853753872598688</v>
      </c>
      <c r="I20" s="42">
        <f>H20*100</f>
        <v>30.853753872598688</v>
      </c>
      <c r="J20" s="37"/>
      <c r="K20" s="37"/>
      <c r="L20" s="37"/>
    </row>
    <row r="21" spans="1:12" ht="18.600000000000001" thickBot="1">
      <c r="A21" s="23" t="s">
        <v>8</v>
      </c>
      <c r="B21" s="24">
        <v>510</v>
      </c>
      <c r="G21" s="45" t="s">
        <v>14</v>
      </c>
      <c r="H21" s="46"/>
      <c r="I21" s="46"/>
      <c r="J21" s="46"/>
      <c r="K21" s="46"/>
      <c r="L21" s="47"/>
    </row>
    <row r="22" spans="1:12" ht="18.600000000000001" thickBot="1">
      <c r="A22" s="23" t="s">
        <v>10</v>
      </c>
      <c r="B22" s="25">
        <v>20</v>
      </c>
      <c r="G22" s="48"/>
      <c r="H22" s="49"/>
      <c r="I22" s="49"/>
      <c r="J22" s="49"/>
      <c r="K22" s="49"/>
      <c r="L22" s="50"/>
    </row>
    <row r="23" spans="1:12" ht="18.600000000000001" thickBot="1">
      <c r="A23" s="23" t="s">
        <v>11</v>
      </c>
      <c r="B23" s="26">
        <v>500</v>
      </c>
      <c r="G23" s="51"/>
      <c r="H23" s="52"/>
      <c r="I23" s="52"/>
      <c r="J23" s="52"/>
      <c r="K23" s="52"/>
      <c r="L23" s="53"/>
    </row>
    <row r="24" spans="1:12" ht="18.600000000000001" thickBot="1">
      <c r="A24" s="23" t="s">
        <v>12</v>
      </c>
      <c r="B24" s="32">
        <f>(B23-B21)/B22</f>
        <v>-0.5</v>
      </c>
    </row>
  </sheetData>
  <mergeCells count="3">
    <mergeCell ref="A7:B7"/>
    <mergeCell ref="G21:L23"/>
    <mergeCell ref="G9:L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2EDA-E91E-4FC8-8C29-850839A576CF}">
  <dimension ref="C3:F31"/>
  <sheetViews>
    <sheetView topLeftCell="A12" workbookViewId="0"/>
  </sheetViews>
  <sheetFormatPr defaultColWidth="8.85546875" defaultRowHeight="14.45"/>
  <cols>
    <col min="3" max="3" width="24.85546875" customWidth="1"/>
    <col min="4" max="4" width="19.85546875" customWidth="1"/>
  </cols>
  <sheetData>
    <row r="3" spans="3:6">
      <c r="C3" t="s">
        <v>15</v>
      </c>
    </row>
    <row r="4" spans="3:6">
      <c r="C4" t="s">
        <v>16</v>
      </c>
    </row>
    <row r="5" spans="3:6">
      <c r="C5" t="s">
        <v>17</v>
      </c>
    </row>
    <row r="6" spans="3:6">
      <c r="C6" t="s">
        <v>18</v>
      </c>
    </row>
    <row r="7" spans="3:6">
      <c r="C7" t="s">
        <v>19</v>
      </c>
    </row>
    <row r="8" spans="3:6">
      <c r="C8" t="s">
        <v>20</v>
      </c>
    </row>
    <row r="10" spans="3:6">
      <c r="C10" s="27" t="s">
        <v>21</v>
      </c>
      <c r="D10" t="s">
        <v>22</v>
      </c>
    </row>
    <row r="11" spans="3:6">
      <c r="C11" s="27" t="s">
        <v>23</v>
      </c>
      <c r="D11" t="s">
        <v>24</v>
      </c>
    </row>
    <row r="12" spans="3:6">
      <c r="C12" s="27" t="s">
        <v>25</v>
      </c>
      <c r="D12">
        <v>800</v>
      </c>
    </row>
    <row r="13" spans="3:6">
      <c r="C13" s="27" t="s">
        <v>26</v>
      </c>
      <c r="D13">
        <v>40</v>
      </c>
    </row>
    <row r="15" spans="3:6">
      <c r="C15" s="27" t="s">
        <v>27</v>
      </c>
      <c r="E15">
        <v>700</v>
      </c>
      <c r="F15">
        <v>804</v>
      </c>
    </row>
    <row r="17" spans="3:5">
      <c r="C17" s="28" t="s">
        <v>28</v>
      </c>
    </row>
    <row r="18" spans="3:5">
      <c r="D18" t="s">
        <v>29</v>
      </c>
      <c r="E18">
        <f>(E15-D12)/D13</f>
        <v>-2.5</v>
      </c>
    </row>
    <row r="20" spans="3:5">
      <c r="D20" t="s">
        <v>30</v>
      </c>
      <c r="E20">
        <f>(F15-D12)/D13</f>
        <v>0.1</v>
      </c>
    </row>
    <row r="23" spans="3:5">
      <c r="C23" s="28" t="s">
        <v>31</v>
      </c>
      <c r="D23" t="s">
        <v>32</v>
      </c>
      <c r="E23">
        <f>_xlfn.NORM.DIST(E15,D12,D13,TRUE)</f>
        <v>6.2096653257761331E-3</v>
      </c>
    </row>
    <row r="25" spans="3:5">
      <c r="D25" t="s">
        <v>33</v>
      </c>
      <c r="E25">
        <f>_xlfn.NORM.DIST(F15,D12,D13,TRUE)</f>
        <v>0.53982783727702899</v>
      </c>
    </row>
    <row r="27" spans="3:5">
      <c r="C27" s="28" t="s">
        <v>34</v>
      </c>
      <c r="E27">
        <f>E25-E23</f>
        <v>0.53361817195125283</v>
      </c>
    </row>
    <row r="28" spans="3:5">
      <c r="C28" s="28" t="s">
        <v>35</v>
      </c>
      <c r="E28">
        <f>E27*100</f>
        <v>53.361817195125283</v>
      </c>
    </row>
    <row r="31" spans="3:5">
      <c r="C31" t="s">
        <v>36</v>
      </c>
      <c r="D31" s="27"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D552E-D341-4491-98D9-F163801DE3E1}">
  <dimension ref="B2:K38"/>
  <sheetViews>
    <sheetView workbookViewId="0"/>
  </sheetViews>
  <sheetFormatPr defaultColWidth="8.85546875" defaultRowHeight="14.45"/>
  <cols>
    <col min="2" max="2" width="15" customWidth="1"/>
    <col min="3" max="3" width="14.5703125" customWidth="1"/>
    <col min="8" max="8" width="11.28515625" bestFit="1" customWidth="1"/>
    <col min="9" max="9" width="11.140625" customWidth="1"/>
  </cols>
  <sheetData>
    <row r="2" spans="2:9" ht="18" customHeight="1">
      <c r="B2" s="11" t="s">
        <v>38</v>
      </c>
    </row>
    <row r="3" spans="2:9" ht="18" customHeight="1">
      <c r="B3" s="12" t="s">
        <v>39</v>
      </c>
    </row>
    <row r="4" spans="2:9" ht="18" customHeight="1">
      <c r="B4" s="12" t="s">
        <v>40</v>
      </c>
    </row>
    <row r="5" spans="2:9" ht="18" customHeight="1">
      <c r="B5" s="12" t="s">
        <v>41</v>
      </c>
    </row>
    <row r="6" spans="2:9" ht="18" customHeight="1">
      <c r="B6" s="12" t="s">
        <v>42</v>
      </c>
    </row>
    <row r="7" spans="2:9" ht="18" customHeight="1">
      <c r="B7" s="12" t="s">
        <v>43</v>
      </c>
    </row>
    <row r="8" spans="2:9" ht="18" customHeight="1">
      <c r="B8" s="12" t="s">
        <v>44</v>
      </c>
    </row>
    <row r="9" spans="2:9" ht="18" customHeight="1">
      <c r="B9" s="12" t="s">
        <v>45</v>
      </c>
    </row>
    <row r="10" spans="2:9" ht="18" customHeight="1">
      <c r="B10" s="12" t="s">
        <v>46</v>
      </c>
    </row>
    <row r="11" spans="2:9" ht="18" customHeight="1">
      <c r="B11" s="12" t="s">
        <v>47</v>
      </c>
    </row>
    <row r="13" spans="2:9">
      <c r="B13" s="30" t="s">
        <v>48</v>
      </c>
      <c r="C13" s="30"/>
      <c r="D13" s="30"/>
      <c r="E13" s="30"/>
      <c r="F13" s="30"/>
      <c r="G13" s="30"/>
      <c r="H13" s="30"/>
      <c r="I13" s="30"/>
    </row>
    <row r="14" spans="2:9" ht="15" thickBot="1"/>
    <row r="15" spans="2:9" ht="24" thickBot="1">
      <c r="B15" s="54" t="s">
        <v>4</v>
      </c>
      <c r="C15" s="55"/>
    </row>
    <row r="16" spans="2:9" ht="32.25" customHeight="1" thickBot="1">
      <c r="B16" s="4" t="s">
        <v>49</v>
      </c>
      <c r="C16" s="5" t="s">
        <v>50</v>
      </c>
      <c r="G16" s="34"/>
    </row>
    <row r="17" spans="2:11" ht="18.600000000000001" thickBot="1">
      <c r="B17" s="6" t="s">
        <v>51</v>
      </c>
      <c r="C17" s="7">
        <v>60</v>
      </c>
      <c r="D17" t="s">
        <v>52</v>
      </c>
      <c r="F17" s="57" t="s">
        <v>7</v>
      </c>
      <c r="G17" s="57"/>
      <c r="H17" s="13">
        <v>2.2800000000000001E-2</v>
      </c>
      <c r="I17" s="13">
        <v>2.2750131999999999E-2</v>
      </c>
    </row>
    <row r="18" spans="2:11" ht="57" customHeight="1" thickBot="1">
      <c r="B18" s="4" t="s">
        <v>53</v>
      </c>
      <c r="C18" s="8">
        <v>4</v>
      </c>
      <c r="D18" t="s">
        <v>52</v>
      </c>
    </row>
    <row r="19" spans="2:11" ht="25.5" customHeight="1" thickBot="1">
      <c r="B19" s="4" t="s">
        <v>11</v>
      </c>
      <c r="C19" s="9">
        <v>68</v>
      </c>
      <c r="D19" t="s">
        <v>52</v>
      </c>
      <c r="G19" s="56" t="s">
        <v>54</v>
      </c>
      <c r="H19" s="56"/>
      <c r="I19" s="56"/>
      <c r="J19" s="56"/>
      <c r="K19" s="56"/>
    </row>
    <row r="20" spans="2:11" ht="18.600000000000001" thickBot="1">
      <c r="B20" s="4" t="s">
        <v>12</v>
      </c>
      <c r="C20" s="10">
        <f>(C19-C17)/C18</f>
        <v>2</v>
      </c>
      <c r="G20" s="56"/>
      <c r="H20" s="56"/>
      <c r="I20" s="56"/>
      <c r="J20" s="56"/>
      <c r="K20" s="56"/>
    </row>
    <row r="22" spans="2:11">
      <c r="B22" s="30" t="s">
        <v>55</v>
      </c>
    </row>
    <row r="23" spans="2:11">
      <c r="B23" s="31" t="s">
        <v>56</v>
      </c>
    </row>
    <row r="25" spans="2:11" ht="15" thickBot="1"/>
    <row r="26" spans="2:11" ht="24" thickBot="1">
      <c r="B26" s="54" t="s">
        <v>57</v>
      </c>
      <c r="C26" s="55"/>
    </row>
    <row r="27" spans="2:11" ht="36.6" thickBot="1">
      <c r="B27" s="4" t="s">
        <v>49</v>
      </c>
      <c r="C27" s="5" t="s">
        <v>50</v>
      </c>
    </row>
    <row r="28" spans="2:11" ht="18.600000000000001" thickBot="1">
      <c r="B28" s="6" t="s">
        <v>51</v>
      </c>
      <c r="C28" s="7">
        <v>60</v>
      </c>
      <c r="D28" t="s">
        <v>52</v>
      </c>
      <c r="F28" s="57" t="s">
        <v>7</v>
      </c>
      <c r="G28" s="57"/>
      <c r="H28" s="13">
        <v>0.78879999999999995</v>
      </c>
      <c r="I28" s="13">
        <v>0.78870045200000005</v>
      </c>
    </row>
    <row r="29" spans="2:11" ht="36" customHeight="1" thickBot="1">
      <c r="B29" s="4" t="s">
        <v>53</v>
      </c>
      <c r="C29" s="8">
        <v>4</v>
      </c>
      <c r="D29" t="s">
        <v>52</v>
      </c>
    </row>
    <row r="30" spans="2:11" ht="27" customHeight="1" thickBot="1">
      <c r="B30" s="4" t="s">
        <v>11</v>
      </c>
      <c r="C30" s="9">
        <v>55</v>
      </c>
      <c r="D30" t="s">
        <v>52</v>
      </c>
      <c r="F30" s="58" t="s">
        <v>58</v>
      </c>
      <c r="G30" s="58"/>
      <c r="H30" s="58"/>
      <c r="I30" s="58"/>
    </row>
    <row r="31" spans="2:11" ht="18.600000000000001" thickBot="1">
      <c r="B31" s="4" t="s">
        <v>12</v>
      </c>
      <c r="C31" s="10">
        <f>(C30-C28)/C29</f>
        <v>-1.25</v>
      </c>
      <c r="F31" s="58"/>
      <c r="G31" s="58"/>
      <c r="H31" s="58"/>
      <c r="I31" s="58"/>
    </row>
    <row r="32" spans="2:11" ht="15" thickBot="1"/>
    <row r="33" spans="2:4" ht="24" thickBot="1">
      <c r="B33" s="54" t="s">
        <v>59</v>
      </c>
      <c r="C33" s="55"/>
    </row>
    <row r="34" spans="2:4" ht="36.6" thickBot="1">
      <c r="B34" s="4" t="s">
        <v>49</v>
      </c>
      <c r="C34" s="5" t="s">
        <v>50</v>
      </c>
    </row>
    <row r="35" spans="2:4" ht="18.600000000000001" thickBot="1">
      <c r="B35" s="6" t="s">
        <v>51</v>
      </c>
      <c r="C35" s="7">
        <v>60</v>
      </c>
      <c r="D35" t="s">
        <v>52</v>
      </c>
    </row>
    <row r="36" spans="2:4" ht="36.6" thickBot="1">
      <c r="B36" s="4" t="s">
        <v>53</v>
      </c>
      <c r="C36" s="8">
        <v>4</v>
      </c>
      <c r="D36" t="s">
        <v>52</v>
      </c>
    </row>
    <row r="37" spans="2:4" ht="18.600000000000001" thickBot="1">
      <c r="B37" s="4" t="s">
        <v>11</v>
      </c>
      <c r="C37" s="9">
        <v>65</v>
      </c>
      <c r="D37" t="s">
        <v>52</v>
      </c>
    </row>
    <row r="38" spans="2:4" ht="18.600000000000001" thickBot="1">
      <c r="B38" s="4" t="s">
        <v>12</v>
      </c>
      <c r="C38" s="10">
        <f>(C37-C35)/C36</f>
        <v>1.25</v>
      </c>
    </row>
  </sheetData>
  <mergeCells count="7">
    <mergeCell ref="B15:C15"/>
    <mergeCell ref="G19:K20"/>
    <mergeCell ref="B26:C26"/>
    <mergeCell ref="B33:C33"/>
    <mergeCell ref="F17:G17"/>
    <mergeCell ref="F28:G28"/>
    <mergeCell ref="F30:I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4FBC-AC83-4561-86A6-7A11731B4095}">
  <dimension ref="A1:Q13"/>
  <sheetViews>
    <sheetView tabSelected="1" workbookViewId="0">
      <selection activeCell="B5" sqref="B5"/>
    </sheetView>
  </sheetViews>
  <sheetFormatPr defaultColWidth="8.85546875" defaultRowHeight="14.45"/>
  <cols>
    <col min="2" max="2" width="20.85546875" customWidth="1"/>
    <col min="3" max="3" width="22" customWidth="1"/>
    <col min="7" max="7" width="16.85546875" customWidth="1"/>
  </cols>
  <sheetData>
    <row r="1" spans="1:17" ht="15" customHeight="1">
      <c r="A1" s="59" t="s">
        <v>60</v>
      </c>
      <c r="B1" s="59"/>
      <c r="C1" s="59"/>
      <c r="D1" s="59"/>
      <c r="E1" s="59"/>
      <c r="F1" s="59"/>
      <c r="G1" s="59"/>
      <c r="H1" s="59"/>
      <c r="I1" s="59"/>
      <c r="J1" s="59"/>
      <c r="K1" s="59"/>
      <c r="L1" s="59"/>
      <c r="M1" s="59"/>
      <c r="N1" s="59"/>
      <c r="O1" s="59"/>
      <c r="P1" s="59"/>
      <c r="Q1" s="59"/>
    </row>
    <row r="2" spans="1:17">
      <c r="A2" s="59"/>
      <c r="B2" s="59"/>
      <c r="C2" s="59"/>
      <c r="D2" s="59"/>
      <c r="E2" s="59"/>
      <c r="F2" s="59"/>
      <c r="G2" s="59"/>
      <c r="H2" s="59"/>
      <c r="I2" s="59"/>
      <c r="J2" s="59"/>
      <c r="K2" s="59"/>
      <c r="L2" s="59"/>
      <c r="M2" s="59"/>
      <c r="N2" s="59"/>
      <c r="O2" s="59"/>
      <c r="P2" s="59"/>
      <c r="Q2" s="59"/>
    </row>
    <row r="3" spans="1:17">
      <c r="A3" s="59"/>
      <c r="B3" s="59"/>
      <c r="C3" s="59"/>
      <c r="D3" s="59"/>
      <c r="E3" s="59"/>
      <c r="F3" s="59"/>
      <c r="G3" s="59"/>
      <c r="H3" s="59"/>
      <c r="I3" s="59"/>
      <c r="J3" s="59"/>
      <c r="K3" s="59"/>
      <c r="L3" s="59"/>
      <c r="M3" s="59"/>
      <c r="N3" s="59"/>
      <c r="O3" s="59"/>
      <c r="P3" s="59"/>
      <c r="Q3" s="59"/>
    </row>
    <row r="4" spans="1:17">
      <c r="A4" s="59"/>
      <c r="B4" s="59"/>
      <c r="C4" s="59"/>
      <c r="D4" s="59"/>
      <c r="E4" s="59"/>
      <c r="F4" s="59"/>
      <c r="G4" s="59"/>
      <c r="H4" s="59"/>
      <c r="I4" s="59"/>
      <c r="J4" s="59"/>
      <c r="K4" s="59"/>
      <c r="L4" s="59"/>
      <c r="M4" s="59"/>
      <c r="N4" s="59"/>
      <c r="O4" s="59"/>
      <c r="P4" s="59"/>
      <c r="Q4" s="59"/>
    </row>
    <row r="6" spans="1:17" ht="23.45">
      <c r="B6" s="54" t="s">
        <v>4</v>
      </c>
      <c r="C6" s="55"/>
    </row>
    <row r="7" spans="1:17" ht="36">
      <c r="B7" s="4" t="s">
        <v>49</v>
      </c>
      <c r="C7" s="5" t="s">
        <v>50</v>
      </c>
    </row>
    <row r="8" spans="1:17" ht="18">
      <c r="B8" s="6" t="s">
        <v>51</v>
      </c>
      <c r="C8" s="7">
        <v>110</v>
      </c>
    </row>
    <row r="9" spans="1:17" ht="36">
      <c r="B9" s="4" t="s">
        <v>53</v>
      </c>
      <c r="C9" s="8">
        <v>1.5</v>
      </c>
    </row>
    <row r="10" spans="1:17" ht="18">
      <c r="B10" s="4" t="s">
        <v>11</v>
      </c>
      <c r="C10" s="9">
        <v>106</v>
      </c>
      <c r="D10" s="9">
        <v>108</v>
      </c>
      <c r="G10" s="15" t="s">
        <v>7</v>
      </c>
      <c r="H10" s="15">
        <f>_xlfn.NORM.S.DIST(E11,1)</f>
        <v>0.90878878027413212</v>
      </c>
      <c r="I10" s="18">
        <f>H10*100</f>
        <v>90.878878027413208</v>
      </c>
    </row>
    <row r="11" spans="1:17" ht="18">
      <c r="B11" s="4" t="s">
        <v>12</v>
      </c>
      <c r="C11" s="10">
        <f>(C10-C8)/C9</f>
        <v>-2.6666666666666665</v>
      </c>
      <c r="D11" s="10">
        <f>(D10-C8)/C9</f>
        <v>-1.3333333333333333</v>
      </c>
      <c r="E11" s="17">
        <f>D11-C11</f>
        <v>1.3333333333333333</v>
      </c>
      <c r="G11" s="60" t="s">
        <v>61</v>
      </c>
      <c r="H11" s="61"/>
      <c r="I11" s="62"/>
      <c r="J11" s="61"/>
      <c r="K11" s="61"/>
      <c r="L11" s="63"/>
    </row>
    <row r="12" spans="1:17" ht="15" customHeight="1">
      <c r="G12" s="64"/>
      <c r="H12" s="62"/>
      <c r="I12" s="62"/>
      <c r="J12" s="62"/>
      <c r="K12" s="62"/>
      <c r="L12" s="65"/>
    </row>
    <row r="13" spans="1:17" ht="15" customHeight="1">
      <c r="G13" s="66"/>
      <c r="H13" s="67"/>
      <c r="I13" s="67"/>
      <c r="J13" s="67"/>
      <c r="K13" s="67"/>
      <c r="L13" s="68"/>
    </row>
  </sheetData>
  <mergeCells count="3">
    <mergeCell ref="A1:Q4"/>
    <mergeCell ref="B6:C6"/>
    <mergeCell ref="G11:L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41334-221F-4044-9B44-C6EB164C035E}">
  <dimension ref="B2:M26"/>
  <sheetViews>
    <sheetView topLeftCell="A4" workbookViewId="0">
      <selection activeCell="K17" sqref="K17"/>
    </sheetView>
  </sheetViews>
  <sheetFormatPr defaultColWidth="8.85546875" defaultRowHeight="14.45"/>
  <cols>
    <col min="2" max="2" width="18.7109375" customWidth="1"/>
    <col min="3" max="3" width="16" customWidth="1"/>
    <col min="4" max="4" width="9.7109375" customWidth="1"/>
    <col min="6" max="6" width="17.7109375" customWidth="1"/>
    <col min="7" max="7" width="11.140625" customWidth="1"/>
    <col min="8" max="8" width="11.5703125" customWidth="1"/>
    <col min="13" max="13" width="15" customWidth="1"/>
    <col min="14" max="14" width="12.42578125" customWidth="1"/>
  </cols>
  <sheetData>
    <row r="2" spans="2:13" ht="42" customHeight="1">
      <c r="B2" s="69" t="s">
        <v>62</v>
      </c>
      <c r="C2" s="69"/>
    </row>
    <row r="3" spans="2:13" ht="18">
      <c r="B3" s="1" t="s">
        <v>63</v>
      </c>
    </row>
    <row r="4" spans="2:13" ht="18">
      <c r="B4" s="1" t="s">
        <v>64</v>
      </c>
    </row>
    <row r="5" spans="2:13" ht="18">
      <c r="B5" s="1" t="s">
        <v>65</v>
      </c>
    </row>
    <row r="6" spans="2:13" ht="18">
      <c r="B6" s="1" t="s">
        <v>66</v>
      </c>
    </row>
    <row r="7" spans="2:13" ht="18">
      <c r="B7" s="2"/>
    </row>
    <row r="8" spans="2:13" ht="15.6">
      <c r="B8" s="3" t="s">
        <v>67</v>
      </c>
    </row>
    <row r="9" spans="2:13" ht="25.9">
      <c r="B9" s="1"/>
      <c r="H9" s="16" t="s">
        <v>68</v>
      </c>
    </row>
    <row r="10" spans="2:13" ht="18">
      <c r="B10" s="70" t="s">
        <v>69</v>
      </c>
      <c r="C10" s="70"/>
      <c r="F10" s="13" t="s">
        <v>7</v>
      </c>
      <c r="G10" s="13">
        <f>+_xlfn.NORM.S.DIST(+C15,TRUE)</f>
        <v>3.9507506607768059E-3</v>
      </c>
      <c r="H10" s="13">
        <f>+G10*100</f>
        <v>0.39507506607768061</v>
      </c>
    </row>
    <row r="11" spans="2:13" ht="14.45" customHeight="1">
      <c r="B11" s="13" t="s">
        <v>70</v>
      </c>
      <c r="C11" s="13" t="s">
        <v>71</v>
      </c>
      <c r="F11" s="71" t="s">
        <v>72</v>
      </c>
      <c r="G11" s="71"/>
      <c r="H11" s="71"/>
      <c r="I11" s="71"/>
      <c r="J11" s="71"/>
      <c r="K11" s="71"/>
      <c r="L11" s="38"/>
      <c r="M11" s="38"/>
    </row>
    <row r="12" spans="2:13">
      <c r="B12" s="13" t="s">
        <v>73</v>
      </c>
      <c r="C12" s="14">
        <v>52600</v>
      </c>
      <c r="F12" s="71"/>
      <c r="G12" s="71"/>
      <c r="H12" s="71"/>
      <c r="I12" s="71"/>
      <c r="J12" s="71"/>
      <c r="K12" s="71"/>
      <c r="L12" s="38"/>
      <c r="M12" s="38"/>
    </row>
    <row r="13" spans="2:13">
      <c r="B13" s="13" t="s">
        <v>74</v>
      </c>
      <c r="C13" s="14">
        <v>1920</v>
      </c>
      <c r="F13" s="38"/>
      <c r="G13" s="38"/>
      <c r="H13" s="38"/>
      <c r="I13" s="38"/>
      <c r="J13" s="38"/>
      <c r="K13" s="38"/>
      <c r="L13" s="38"/>
      <c r="M13" s="38"/>
    </row>
    <row r="14" spans="2:13">
      <c r="B14" s="13" t="s">
        <v>11</v>
      </c>
      <c r="C14" s="14">
        <v>47500</v>
      </c>
    </row>
    <row r="15" spans="2:13">
      <c r="B15" s="13" t="s">
        <v>12</v>
      </c>
      <c r="C15" s="14">
        <f>+(C14-C12)/C13</f>
        <v>-2.65625</v>
      </c>
    </row>
    <row r="19" spans="2:13" ht="15.6">
      <c r="B19" s="3" t="s">
        <v>75</v>
      </c>
    </row>
    <row r="21" spans="2:13" ht="18">
      <c r="B21" s="70" t="s">
        <v>69</v>
      </c>
      <c r="C21" s="70"/>
    </row>
    <row r="22" spans="2:13">
      <c r="B22" s="13" t="s">
        <v>70</v>
      </c>
      <c r="C22" s="13" t="s">
        <v>71</v>
      </c>
    </row>
    <row r="23" spans="2:13">
      <c r="B23" s="13" t="s">
        <v>73</v>
      </c>
      <c r="C23" s="14">
        <v>52600</v>
      </c>
      <c r="F23" s="13" t="s">
        <v>7</v>
      </c>
      <c r="G23" s="13">
        <f>+_xlfn.NORM.S.DIST(E26,TRUE)</f>
        <v>0.78267226432191439</v>
      </c>
      <c r="H23" s="13">
        <f>+G23*100</f>
        <v>78.267226432191435</v>
      </c>
    </row>
    <row r="24" spans="2:13" ht="14.45" customHeight="1">
      <c r="B24" s="13" t="s">
        <v>74</v>
      </c>
      <c r="C24" s="14">
        <v>1920</v>
      </c>
      <c r="F24" s="71" t="s">
        <v>76</v>
      </c>
      <c r="G24" s="71"/>
      <c r="H24" s="71"/>
      <c r="I24" s="71"/>
      <c r="J24" s="71"/>
      <c r="K24" s="71"/>
      <c r="L24" s="38"/>
      <c r="M24" s="38"/>
    </row>
    <row r="25" spans="2:13">
      <c r="B25" s="13" t="s">
        <v>11</v>
      </c>
      <c r="C25" s="29">
        <v>53500</v>
      </c>
      <c r="D25" s="33">
        <v>55000</v>
      </c>
      <c r="F25" s="71"/>
      <c r="G25" s="71"/>
      <c r="H25" s="71"/>
      <c r="I25" s="71"/>
      <c r="J25" s="71"/>
      <c r="K25" s="71"/>
      <c r="L25" s="38"/>
      <c r="M25" s="38"/>
    </row>
    <row r="26" spans="2:13">
      <c r="B26" s="13" t="s">
        <v>12</v>
      </c>
      <c r="C26" s="29">
        <f>+(C25-C23)/C24</f>
        <v>0.46875</v>
      </c>
      <c r="D26" s="29">
        <f>+(D25-C23)/C24</f>
        <v>1.25</v>
      </c>
      <c r="E26" s="35">
        <f>+D26-C26</f>
        <v>0.78125</v>
      </c>
      <c r="F26" s="38"/>
      <c r="G26" s="38"/>
      <c r="H26" s="38"/>
      <c r="I26" s="38"/>
      <c r="J26" s="38"/>
      <c r="K26" s="38"/>
      <c r="L26" s="38"/>
      <c r="M26" s="38"/>
    </row>
  </sheetData>
  <mergeCells count="5">
    <mergeCell ref="B2:C2"/>
    <mergeCell ref="B10:C10"/>
    <mergeCell ref="B21:C21"/>
    <mergeCell ref="F24:K25"/>
    <mergeCell ref="F11:K1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0005f22-efbb-4015-99c3-12cd64156c0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DA66CA253A85D40BE5B29C79D445D35" ma:contentTypeVersion="8" ma:contentTypeDescription="Create a new document." ma:contentTypeScope="" ma:versionID="50d56a73583abff73a98700557586726">
  <xsd:schema xmlns:xsd="http://www.w3.org/2001/XMLSchema" xmlns:xs="http://www.w3.org/2001/XMLSchema" xmlns:p="http://schemas.microsoft.com/office/2006/metadata/properties" xmlns:ns3="d0005f22-efbb-4015-99c3-12cd64156c08" xmlns:ns4="8d1992e8-e91a-45e8-a4f7-70c2797ab20e" targetNamespace="http://schemas.microsoft.com/office/2006/metadata/properties" ma:root="true" ma:fieldsID="32f227605e2db91165a22127dd24a5ec" ns3:_="" ns4:_="">
    <xsd:import namespace="d0005f22-efbb-4015-99c3-12cd64156c08"/>
    <xsd:import namespace="8d1992e8-e91a-45e8-a4f7-70c2797ab20e"/>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4:SharedWithUsers" minOccurs="0"/>
                <xsd:element ref="ns4:SharedWithDetails" minOccurs="0"/>
                <xsd:element ref="ns4:SharingHintHash"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005f22-efbb-4015-99c3-12cd64156c08"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1992e8-e91a-45e8-a4f7-70c2797ab20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88F287-7129-4B2E-BEF3-BBE6D2555AF0}"/>
</file>

<file path=customXml/itemProps2.xml><?xml version="1.0" encoding="utf-8"?>
<ds:datastoreItem xmlns:ds="http://schemas.openxmlformats.org/officeDocument/2006/customXml" ds:itemID="{EE22612D-2EA1-483A-B0DB-5420D5CA55E2}"/>
</file>

<file path=customXml/itemProps3.xml><?xml version="1.0" encoding="utf-8"?>
<ds:datastoreItem xmlns:ds="http://schemas.openxmlformats.org/officeDocument/2006/customXml" ds:itemID="{48D9AF6F-A83D-4556-AD2A-5BC9230B23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 Rojas Gallo</dc:creator>
  <cp:keywords/>
  <dc:description/>
  <cp:lastModifiedBy/>
  <cp:revision/>
  <dcterms:created xsi:type="dcterms:W3CDTF">2024-08-06T02:16:59Z</dcterms:created>
  <dcterms:modified xsi:type="dcterms:W3CDTF">2024-08-06T05:28:28Z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0x0101004DA66CA253A85D40BE5B29C79D445D35</vt:lpwstr>
  </property>
</Properties>
</file>