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https://ulacited-my.sharepoint.com/personal/nrojasg399_ulacit_ed_cr/Documents/"/>
    </mc:Choice>
  </mc:AlternateContent>
  <xr:revisionPtr revIDLastSave="0" documentId="8_{F5F0919C-C807-3C45-839D-650BA6B6A972}" xr6:coauthVersionLast="47" xr6:coauthVersionMax="47" xr10:uidLastSave="{00000000-0000-0000-0000-000000000000}"/>
  <bookViews>
    <workbookView xWindow="68895" yWindow="0" windowWidth="26010" windowHeight="20985" activeTab="1" xr2:uid="{3CA76230-2304-4C97-BD2B-F48DAA0BFBD6}"/>
  </bookViews>
  <sheets>
    <sheet name="Ejercicio 1" sheetId="1" r:id="rId1"/>
    <sheet name="Ejercicio 2" sheetId="2" r:id="rId2"/>
  </sheets>
  <definedNames>
    <definedName name="_xlnm._FilterDatabase" localSheetId="1" hidden="1">'Ejercicio 2'!$A$1:$E$21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D11" i="1"/>
  <c r="C11" i="1"/>
  <c r="D8" i="1"/>
  <c r="C8" i="1"/>
  <c r="D9" i="1"/>
  <c r="C9" i="1"/>
</calcChain>
</file>

<file path=xl/sharedStrings.xml><?xml version="1.0" encoding="utf-8"?>
<sst xmlns="http://schemas.openxmlformats.org/spreadsheetml/2006/main" count="26" uniqueCount="24">
  <si>
    <t>Trans S.A</t>
  </si>
  <si>
    <t>Tecno. Cia.</t>
  </si>
  <si>
    <t>Numero de vehiculo</t>
  </si>
  <si>
    <t>Consumo</t>
  </si>
  <si>
    <t>Potencia</t>
  </si>
  <si>
    <t>Aceleracion</t>
  </si>
  <si>
    <t>Medida</t>
  </si>
  <si>
    <t>Grupo de peso</t>
  </si>
  <si>
    <t>Vehiculo mediano clase 1</t>
  </si>
  <si>
    <t>Vehiculo mediano clase 2</t>
  </si>
  <si>
    <t>Minimo</t>
  </si>
  <si>
    <t>Maximo</t>
  </si>
  <si>
    <t>Media</t>
  </si>
  <si>
    <t>Varianza</t>
  </si>
  <si>
    <t>Desviacion estandar</t>
  </si>
  <si>
    <t xml:space="preserve">Media </t>
  </si>
  <si>
    <t>Mediana</t>
  </si>
  <si>
    <t>Percentil 25</t>
  </si>
  <si>
    <t>Coeficiente de variacion</t>
  </si>
  <si>
    <t xml:space="preserve">Desviación estándar </t>
  </si>
  <si>
    <t>A)</t>
  </si>
  <si>
    <t>B)</t>
  </si>
  <si>
    <t>C)</t>
  </si>
  <si>
    <t>ClaseV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</si>
</sst>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8B85-5F59-42DC-B02D-75BFEC80AC65}">
  <dimension ref="A1:L11"/>
  <sheetViews>
    <sheetView workbookViewId="0">
      <selection activeCell="F9" sqref="F9"/>
    </sheetView>
  </sheetViews>
  <sheetFormatPr defaultRowHeight="15" x14ac:dyDescent="0.2"/>
  <cols>
    <col min="1" max="1" width="12.64453125" customWidth="1"/>
    <col min="2" max="2" width="19.234375" customWidth="1"/>
    <col min="3" max="3" width="11.43359375" customWidth="1"/>
    <col min="4" max="4" width="12.23828125" customWidth="1"/>
  </cols>
  <sheetData>
    <row r="1" spans="1:12" x14ac:dyDescent="0.2">
      <c r="A1" s="3" t="s">
        <v>0</v>
      </c>
      <c r="B1" s="1">
        <v>112</v>
      </c>
      <c r="C1" s="1">
        <v>121</v>
      </c>
      <c r="D1" s="1">
        <v>126</v>
      </c>
      <c r="E1" s="1">
        <v>108</v>
      </c>
      <c r="F1" s="1">
        <v>141</v>
      </c>
      <c r="G1" s="1">
        <v>141</v>
      </c>
      <c r="H1" s="1">
        <v>104</v>
      </c>
      <c r="I1" s="1">
        <v>136</v>
      </c>
      <c r="J1" s="1">
        <v>134</v>
      </c>
      <c r="K1" s="1">
        <v>121</v>
      </c>
      <c r="L1" s="1">
        <v>118</v>
      </c>
    </row>
    <row r="2" spans="1:12" x14ac:dyDescent="0.2">
      <c r="A2" s="3"/>
      <c r="B2" s="1">
        <v>143</v>
      </c>
      <c r="C2" s="1">
        <v>116</v>
      </c>
      <c r="D2" s="1">
        <v>108</v>
      </c>
      <c r="E2" s="1">
        <v>122</v>
      </c>
      <c r="F2" s="1">
        <v>127</v>
      </c>
      <c r="G2" s="1">
        <v>127</v>
      </c>
      <c r="H2" s="1">
        <v>140</v>
      </c>
      <c r="I2" s="1">
        <v>113</v>
      </c>
      <c r="J2" s="1">
        <v>117</v>
      </c>
      <c r="K2" s="1">
        <v>126</v>
      </c>
      <c r="L2" s="1">
        <v>130</v>
      </c>
    </row>
    <row r="3" spans="1:12" x14ac:dyDescent="0.2">
      <c r="A3" s="4" t="s">
        <v>1</v>
      </c>
      <c r="B3" s="2">
        <v>134</v>
      </c>
      <c r="C3" s="2">
        <v>120</v>
      </c>
      <c r="D3" s="2">
        <v>131</v>
      </c>
      <c r="E3" s="2">
        <v>133</v>
      </c>
      <c r="F3" s="2">
        <v>118</v>
      </c>
      <c r="G3" s="2">
        <v>118</v>
      </c>
      <c r="H3" s="2">
        <v>125</v>
      </c>
      <c r="I3" s="2">
        <v>151</v>
      </c>
      <c r="J3" s="2">
        <v>47</v>
      </c>
      <c r="K3" s="2">
        <v>137</v>
      </c>
      <c r="L3" s="2">
        <v>140</v>
      </c>
    </row>
    <row r="4" spans="1:12" x14ac:dyDescent="0.2">
      <c r="A4" s="4"/>
      <c r="B4" s="2">
        <v>132</v>
      </c>
      <c r="C4" s="2">
        <v>119</v>
      </c>
      <c r="D4" s="2">
        <v>110</v>
      </c>
      <c r="E4" s="2">
        <v>124</v>
      </c>
      <c r="F4" s="2">
        <v>132</v>
      </c>
      <c r="G4" s="2">
        <v>132</v>
      </c>
      <c r="H4" s="2">
        <v>152</v>
      </c>
      <c r="I4" s="2">
        <v>130</v>
      </c>
      <c r="J4" s="2">
        <v>136</v>
      </c>
      <c r="K4" s="2">
        <v>128</v>
      </c>
      <c r="L4" s="2">
        <v>135</v>
      </c>
    </row>
    <row r="6" spans="1:12" x14ac:dyDescent="0.2">
      <c r="C6" s="3" t="s">
        <v>0</v>
      </c>
      <c r="D6" s="4" t="s">
        <v>1</v>
      </c>
    </row>
    <row r="7" spans="1:12" x14ac:dyDescent="0.2">
      <c r="C7" s="3"/>
      <c r="D7" s="4"/>
    </row>
    <row r="8" spans="1:12" x14ac:dyDescent="0.2">
      <c r="B8" t="s">
        <v>15</v>
      </c>
      <c r="C8" s="11">
        <f>AVERAGE(B1:L2)</f>
        <v>124.13636363636364</v>
      </c>
      <c r="D8" s="11">
        <f>AVERAGE(B3:L4)</f>
        <v>126.54545454545455</v>
      </c>
    </row>
    <row r="9" spans="1:12" x14ac:dyDescent="0.2">
      <c r="B9" t="s">
        <v>16</v>
      </c>
      <c r="C9">
        <f>MEDIAN(B1:L2)</f>
        <v>124</v>
      </c>
      <c r="D9">
        <f>MEDIAN(B3:L4)</f>
        <v>131.5</v>
      </c>
    </row>
    <row r="10" spans="1:12" x14ac:dyDescent="0.2">
      <c r="B10" t="s">
        <v>17</v>
      </c>
    </row>
    <row r="11" spans="1:12" x14ac:dyDescent="0.2">
      <c r="B11" t="s">
        <v>19</v>
      </c>
      <c r="C11" s="11">
        <f>STDEV(B1:L2)</f>
        <v>11.646767197260628</v>
      </c>
      <c r="D11" s="11">
        <f>STDEV(B3:L4)</f>
        <v>20.439754151739425</v>
      </c>
    </row>
  </sheetData>
  <mergeCells count="4">
    <mergeCell ref="A1:A2"/>
    <mergeCell ref="A3:A4"/>
    <mergeCell ref="C6:C7"/>
    <mergeCell ref="D6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F6D7-0E1C-4230-BB06-A7BC0AE5068C}">
  <sheetPr filterMode="1"/>
  <dimension ref="A1:K34"/>
  <sheetViews>
    <sheetView tabSelected="1" workbookViewId="0">
      <selection activeCell="I27" sqref="I27"/>
    </sheetView>
  </sheetViews>
  <sheetFormatPr defaultRowHeight="15" x14ac:dyDescent="0.2"/>
  <cols>
    <col min="1" max="1" width="10.22265625" style="5" customWidth="1"/>
    <col min="2" max="4" width="8.609375" style="5"/>
    <col min="5" max="5" width="10.89453125" style="5" customWidth="1"/>
    <col min="6" max="6" width="14.390625" customWidth="1"/>
    <col min="7" max="7" width="15.6015625" customWidth="1"/>
  </cols>
  <sheetData>
    <row r="1" spans="1:5" ht="27.75" x14ac:dyDescent="0.2">
      <c r="A1" s="9" t="s">
        <v>2</v>
      </c>
      <c r="B1" s="9" t="s">
        <v>3</v>
      </c>
      <c r="C1" s="9" t="s">
        <v>4</v>
      </c>
      <c r="D1" s="9" t="s">
        <v>23</v>
      </c>
      <c r="E1" s="9" t="s">
        <v>5</v>
      </c>
    </row>
    <row r="2" spans="1:5" x14ac:dyDescent="0.2">
      <c r="A2" s="10">
        <v>1</v>
      </c>
      <c r="B2" s="10">
        <v>15</v>
      </c>
      <c r="C2" s="10">
        <v>150</v>
      </c>
      <c r="D2" s="10">
        <v>1</v>
      </c>
      <c r="E2" s="10">
        <v>12</v>
      </c>
    </row>
    <row r="3" spans="1:5" ht="14.25" hidden="1" x14ac:dyDescent="0.2">
      <c r="A3" s="10">
        <v>2</v>
      </c>
      <c r="B3" s="10">
        <v>16</v>
      </c>
      <c r="C3" s="10">
        <v>190</v>
      </c>
      <c r="D3" s="10">
        <v>2</v>
      </c>
      <c r="E3" s="10">
        <v>9</v>
      </c>
    </row>
    <row r="4" spans="1:5" ht="14.25" hidden="1" x14ac:dyDescent="0.2">
      <c r="A4" s="10">
        <v>3</v>
      </c>
      <c r="B4" s="10">
        <v>24</v>
      </c>
      <c r="C4" s="10">
        <v>200</v>
      </c>
      <c r="D4" s="10">
        <v>2</v>
      </c>
      <c r="E4" s="10">
        <v>15</v>
      </c>
    </row>
    <row r="5" spans="1:5" x14ac:dyDescent="0.2">
      <c r="A5" s="10">
        <v>4</v>
      </c>
      <c r="B5" s="10">
        <v>9</v>
      </c>
      <c r="C5" s="10">
        <v>70</v>
      </c>
      <c r="D5" s="10">
        <v>1</v>
      </c>
      <c r="E5" s="10">
        <v>21</v>
      </c>
    </row>
    <row r="6" spans="1:5" x14ac:dyDescent="0.2">
      <c r="A6" s="10">
        <v>5</v>
      </c>
      <c r="B6" s="10">
        <v>11</v>
      </c>
      <c r="C6" s="10">
        <v>72</v>
      </c>
      <c r="D6" s="10">
        <v>1</v>
      </c>
      <c r="E6" s="10">
        <v>19</v>
      </c>
    </row>
    <row r="7" spans="1:5" ht="14.25" hidden="1" x14ac:dyDescent="0.2">
      <c r="A7" s="10">
        <v>6</v>
      </c>
      <c r="B7" s="10">
        <v>17</v>
      </c>
      <c r="C7" s="10">
        <v>153</v>
      </c>
      <c r="D7" s="10">
        <v>2</v>
      </c>
      <c r="E7" s="10">
        <v>14</v>
      </c>
    </row>
    <row r="8" spans="1:5" x14ac:dyDescent="0.2">
      <c r="A8" s="10">
        <v>7</v>
      </c>
      <c r="B8" s="10">
        <v>12</v>
      </c>
      <c r="C8" s="10">
        <v>90</v>
      </c>
      <c r="D8" s="10">
        <v>1</v>
      </c>
      <c r="E8" s="10">
        <v>20</v>
      </c>
    </row>
    <row r="9" spans="1:5" ht="14.25" hidden="1" x14ac:dyDescent="0.2">
      <c r="A9" s="10">
        <v>8</v>
      </c>
      <c r="B9" s="10">
        <v>17</v>
      </c>
      <c r="C9" s="10">
        <v>175</v>
      </c>
      <c r="D9" s="10">
        <v>2</v>
      </c>
      <c r="E9" s="10">
        <v>12</v>
      </c>
    </row>
    <row r="10" spans="1:5" ht="14.25" hidden="1" x14ac:dyDescent="0.2">
      <c r="A10" s="10">
        <v>9</v>
      </c>
      <c r="B10" s="10">
        <v>18</v>
      </c>
      <c r="C10" s="10">
        <v>190</v>
      </c>
      <c r="D10" s="10">
        <v>2</v>
      </c>
      <c r="E10" s="10">
        <v>13</v>
      </c>
    </row>
    <row r="11" spans="1:5" x14ac:dyDescent="0.2">
      <c r="A11" s="10">
        <v>10</v>
      </c>
      <c r="B11" s="10">
        <v>12</v>
      </c>
      <c r="C11" s="10">
        <v>97</v>
      </c>
      <c r="D11" s="10">
        <v>1</v>
      </c>
      <c r="E11" s="10">
        <v>14</v>
      </c>
    </row>
    <row r="12" spans="1:5" ht="14.25" hidden="1" x14ac:dyDescent="0.2">
      <c r="A12" s="10">
        <v>11</v>
      </c>
      <c r="B12" s="10">
        <v>16</v>
      </c>
      <c r="C12" s="10">
        <v>145</v>
      </c>
      <c r="D12" s="10">
        <v>2</v>
      </c>
      <c r="E12" s="10">
        <v>13</v>
      </c>
    </row>
    <row r="13" spans="1:5" x14ac:dyDescent="0.2">
      <c r="A13" s="10">
        <v>12</v>
      </c>
      <c r="B13" s="10">
        <v>12</v>
      </c>
      <c r="C13" s="10">
        <v>91</v>
      </c>
      <c r="D13" s="10">
        <v>1</v>
      </c>
      <c r="E13" s="10">
        <v>14</v>
      </c>
    </row>
    <row r="14" spans="1:5" ht="14.25" hidden="1" x14ac:dyDescent="0.2">
      <c r="A14" s="10">
        <v>13</v>
      </c>
      <c r="B14" s="10">
        <v>9</v>
      </c>
      <c r="C14" s="10">
        <v>75</v>
      </c>
      <c r="D14" s="10">
        <v>2</v>
      </c>
      <c r="E14" s="10">
        <v>17</v>
      </c>
    </row>
    <row r="15" spans="1:5" ht="14.25" hidden="1" x14ac:dyDescent="0.2">
      <c r="A15" s="10">
        <v>14</v>
      </c>
      <c r="B15" s="10">
        <v>8</v>
      </c>
      <c r="C15" s="10">
        <v>67</v>
      </c>
      <c r="D15" s="10">
        <v>2</v>
      </c>
      <c r="E15" s="10">
        <v>16</v>
      </c>
    </row>
    <row r="16" spans="1:5" ht="14.25" hidden="1" x14ac:dyDescent="0.2">
      <c r="A16" s="10">
        <v>15</v>
      </c>
      <c r="B16" s="10">
        <v>7</v>
      </c>
      <c r="C16" s="10">
        <v>65</v>
      </c>
      <c r="D16" s="10">
        <v>2</v>
      </c>
      <c r="E16" s="10">
        <v>21</v>
      </c>
    </row>
    <row r="17" spans="1:11" x14ac:dyDescent="0.2">
      <c r="A17" s="10">
        <v>16</v>
      </c>
      <c r="B17" s="10">
        <v>7</v>
      </c>
      <c r="C17" s="10">
        <v>61</v>
      </c>
      <c r="D17" s="10">
        <v>1</v>
      </c>
      <c r="E17" s="10">
        <v>19</v>
      </c>
    </row>
    <row r="18" spans="1:11" ht="14.25" hidden="1" x14ac:dyDescent="0.2">
      <c r="A18" s="10">
        <v>17</v>
      </c>
      <c r="B18" s="10">
        <v>9</v>
      </c>
      <c r="C18" s="10">
        <v>90</v>
      </c>
      <c r="D18" s="10">
        <v>2</v>
      </c>
      <c r="E18" s="10">
        <v>17</v>
      </c>
    </row>
    <row r="19" spans="1:11" x14ac:dyDescent="0.2">
      <c r="A19" s="10">
        <v>18</v>
      </c>
      <c r="B19" s="10">
        <v>13</v>
      </c>
      <c r="C19" s="10">
        <v>95</v>
      </c>
      <c r="D19" s="10">
        <v>1</v>
      </c>
      <c r="E19" s="10">
        <v>19</v>
      </c>
    </row>
    <row r="20" spans="1:11" ht="14.25" hidden="1" x14ac:dyDescent="0.2">
      <c r="A20" s="10">
        <v>19</v>
      </c>
      <c r="B20" s="10">
        <v>9</v>
      </c>
      <c r="C20" s="10">
        <v>71</v>
      </c>
      <c r="D20" s="10">
        <v>2</v>
      </c>
      <c r="E20" s="10">
        <v>17</v>
      </c>
    </row>
    <row r="21" spans="1:11" ht="14.25" hidden="1" x14ac:dyDescent="0.2">
      <c r="A21" s="10">
        <v>20</v>
      </c>
      <c r="B21" s="10">
        <v>11</v>
      </c>
      <c r="C21" s="10">
        <v>115</v>
      </c>
      <c r="D21" s="10">
        <v>2</v>
      </c>
      <c r="E21" s="10">
        <v>14</v>
      </c>
    </row>
    <row r="27" spans="1:11" x14ac:dyDescent="0.2">
      <c r="D27" s="5" t="s">
        <v>20</v>
      </c>
      <c r="E27" s="12" t="s">
        <v>6</v>
      </c>
      <c r="F27" s="12" t="s">
        <v>7</v>
      </c>
      <c r="G27" s="12"/>
      <c r="I27" t="s">
        <v>21</v>
      </c>
      <c r="K27" t="s">
        <v>22</v>
      </c>
    </row>
    <row r="28" spans="1:11" ht="30" customHeight="1" x14ac:dyDescent="0.2">
      <c r="E28" s="12"/>
      <c r="F28" s="13" t="s">
        <v>8</v>
      </c>
      <c r="G28" s="13" t="s">
        <v>9</v>
      </c>
    </row>
    <row r="29" spans="1:11" x14ac:dyDescent="0.2">
      <c r="E29" s="6" t="s">
        <v>10</v>
      </c>
      <c r="F29" s="6"/>
      <c r="G29" s="6"/>
    </row>
    <row r="30" spans="1:11" x14ac:dyDescent="0.2">
      <c r="E30" s="6" t="s">
        <v>11</v>
      </c>
      <c r="F30" s="6"/>
      <c r="G30" s="6"/>
    </row>
    <row r="31" spans="1:11" x14ac:dyDescent="0.2">
      <c r="E31" s="6" t="s">
        <v>12</v>
      </c>
      <c r="F31" s="6">
        <f>MEDIAN(C2:C19)</f>
        <v>93</v>
      </c>
      <c r="G31" s="6"/>
    </row>
    <row r="32" spans="1:11" x14ac:dyDescent="0.2">
      <c r="E32" s="6" t="s">
        <v>13</v>
      </c>
      <c r="F32" s="6"/>
      <c r="G32" s="6"/>
    </row>
    <row r="33" spans="5:7" ht="27.75" x14ac:dyDescent="0.2">
      <c r="E33" s="8" t="s">
        <v>14</v>
      </c>
      <c r="F33" s="8"/>
      <c r="G33" s="8"/>
    </row>
    <row r="34" spans="5:7" ht="51" customHeight="1" x14ac:dyDescent="0.2">
      <c r="E34" s="6" t="s">
        <v>18</v>
      </c>
      <c r="F34" s="7"/>
      <c r="G34" s="7"/>
    </row>
  </sheetData>
  <autoFilter ref="A1:E21" xr:uid="{4C93F6D7-0E1C-4230-BB06-A7BC0AE5068C}">
    <filterColumn colId="3">
      <filters>
        <filter val="1"/>
      </filters>
    </filterColumn>
  </autoFilter>
  <mergeCells count="2">
    <mergeCell ref="E27:E28"/>
    <mergeCell ref="F27:G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005f22-efbb-4015-99c3-12cd64156c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A66CA253A85D40BE5B29C79D445D35" ma:contentTypeVersion="8" ma:contentTypeDescription="Create a new document." ma:contentTypeScope="" ma:versionID="50d56a73583abff73a98700557586726">
  <xsd:schema xmlns:xsd="http://www.w3.org/2001/XMLSchema" xmlns:xs="http://www.w3.org/2001/XMLSchema" xmlns:p="http://schemas.microsoft.com/office/2006/metadata/properties" xmlns:ns3="d0005f22-efbb-4015-99c3-12cd64156c08" xmlns:ns4="8d1992e8-e91a-45e8-a4f7-70c2797ab20e" targetNamespace="http://schemas.microsoft.com/office/2006/metadata/properties" ma:root="true" ma:fieldsID="32f227605e2db91165a22127dd24a5ec" ns3:_="" ns4:_="">
    <xsd:import namespace="d0005f22-efbb-4015-99c3-12cd64156c08"/>
    <xsd:import namespace="8d1992e8-e91a-45e8-a4f7-70c2797ab20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005f22-efbb-4015-99c3-12cd64156c0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1992e8-e91a-45e8-a4f7-70c2797ab20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22DA36-0E8A-4E5F-AD03-7DA8F5DC682A}">
  <ds:schemaRefs>
    <ds:schemaRef ds:uri="http://schemas.microsoft.com/office/2006/metadata/properties"/>
    <ds:schemaRef ds:uri="http://www.w3.org/2000/xmlns/"/>
    <ds:schemaRef ds:uri="d0005f22-efbb-4015-99c3-12cd64156c08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50412FB6-0644-4415-B8D4-7D266CD4C7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D81619-8A9E-467C-8892-3987A9148D0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0005f22-efbb-4015-99c3-12cd64156c08"/>
    <ds:schemaRef ds:uri="8d1992e8-e91a-45e8-a4f7-70c2797ab2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 Rojas Gallo</dc:creator>
  <cp:lastModifiedBy>Natali Rojas Gallo</cp:lastModifiedBy>
  <dcterms:created xsi:type="dcterms:W3CDTF">2024-06-04T02:23:14Z</dcterms:created>
  <dcterms:modified xsi:type="dcterms:W3CDTF">2024-06-04T02:32:19Z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0x0101004DA66CA253A85D40BE5B29C79D445D35</vt:lpwstr>
  </property>
</Properties>
</file>